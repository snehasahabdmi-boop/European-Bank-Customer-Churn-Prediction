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uropean_Bank" sheetId="1" r:id="rId5"/>
    <sheet state="visible" name="Customer Analysis" sheetId="2" r:id="rId6"/>
    <sheet state="visible" name="Visualization" sheetId="3" r:id="rId7"/>
  </sheets>
  <definedNames/>
  <calcPr/>
</workbook>
</file>

<file path=xl/sharedStrings.xml><?xml version="1.0" encoding="utf-8"?>
<sst xmlns="http://schemas.openxmlformats.org/spreadsheetml/2006/main" count="30157" uniqueCount="3034">
  <si>
    <t>Year</t>
  </si>
  <si>
    <t>CustomerId.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</si>
  <si>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</si>
  <si>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</si>
  <si>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</si>
  <si>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</si>
  <si>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</si>
  <si>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</si>
  <si>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</si>
  <si>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</si>
  <si>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</si>
  <si>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</si>
  <si>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</si>
  <si>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</si>
  <si>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</si>
  <si>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</si>
  <si>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</si>
  <si>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</si>
  <si>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</si>
  <si>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</si>
  <si>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</si>
  <si>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</si>
  <si>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</si>
  <si>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</si>
  <si>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</si>
  <si>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</si>
  <si>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</si>
  <si>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</si>
  <si>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</si>
  <si>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</si>
  <si>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</si>
  <si>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</si>
  <si>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</si>
  <si>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</si>
  <si>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</si>
  <si>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</si>
  <si>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</si>
  <si>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</si>
  <si>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</si>
  <si>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</si>
  <si>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</si>
  <si>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</si>
  <si>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</si>
  <si>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</si>
  <si>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</si>
  <si>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</si>
  <si>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</si>
  <si>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</si>
  <si>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</si>
  <si>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</si>
  <si>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</si>
  <si>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</si>
  <si>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</si>
  <si>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</si>
  <si>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</si>
  <si>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</si>
  <si>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</si>
  <si>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</si>
  <si>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</si>
  <si>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</si>
  <si>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</si>
  <si>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</si>
  <si>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</si>
  <si>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</si>
  <si>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</si>
  <si>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</si>
  <si>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</si>
  <si>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</si>
  <si>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</si>
  <si>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</si>
  <si>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</si>
  <si>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</si>
  <si>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</si>
  <si>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</si>
  <si>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</si>
  <si>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</si>
  <si>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</si>
  <si>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</si>
  <si>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</si>
  <si>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</si>
  <si>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</si>
  <si>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</si>
  <si>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</si>
  <si>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</si>
  <si>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</si>
  <si>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</si>
  <si>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</si>
  <si>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</si>
  <si>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</si>
  <si>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</si>
  <si>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</si>
  <si>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</si>
  <si>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</si>
  <si>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</si>
  <si>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</si>
  <si>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</si>
  <si>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</si>
  <si>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</si>
  <si>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</si>
  <si>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</si>
  <si>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</si>
  <si>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</si>
  <si>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</si>
  <si>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</si>
  <si>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</si>
  <si>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</si>
  <si>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</si>
  <si>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</si>
  <si>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</si>
  <si>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</si>
  <si>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</si>
  <si>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</si>
  <si>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</si>
  <si>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</si>
  <si>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</si>
  <si>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</si>
  <si>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</si>
  <si>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</si>
  <si>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</si>
  <si>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</si>
  <si>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</si>
  <si>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</si>
  <si>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</si>
  <si>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</si>
  <si>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</si>
  <si>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</si>
  <si>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</si>
  <si>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</si>
  <si>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</si>
  <si>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</si>
  <si>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</si>
  <si>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</si>
  <si>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</si>
  <si>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</si>
  <si>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</si>
  <si>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</si>
  <si>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</si>
  <si>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</si>
  <si>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</si>
  <si>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</si>
  <si>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</si>
  <si>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</si>
  <si>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</si>
  <si>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</si>
  <si>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</si>
  <si>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</si>
  <si>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</si>
  <si>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</si>
  <si>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</si>
  <si>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</si>
  <si>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</si>
  <si>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</si>
  <si>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</si>
  <si>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</si>
  <si>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</si>
  <si>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</si>
  <si>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</si>
  <si>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</si>
  <si>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</si>
  <si>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</si>
  <si>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</si>
  <si>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</si>
  <si>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</si>
  <si>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</si>
  <si>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</si>
  <si>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</si>
  <si>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</si>
  <si>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</si>
  <si>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</si>
  <si>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</si>
  <si>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</si>
  <si>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</si>
  <si>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</si>
  <si>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</si>
  <si>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</si>
  <si>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</si>
  <si>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</si>
  <si>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</si>
  <si>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</si>
  <si>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</si>
  <si>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</si>
  <si>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</si>
  <si>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</si>
  <si>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</si>
  <si>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</si>
  <si>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</si>
  <si>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</si>
  <si>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</si>
  <si>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</si>
  <si>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</si>
  <si>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</si>
  <si>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</si>
  <si>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</si>
  <si>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</si>
  <si>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</si>
  <si>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</si>
  <si>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</si>
  <si>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</si>
  <si>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</si>
  <si>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</si>
  <si>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</si>
  <si>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</si>
  <si>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</si>
  <si>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</si>
  <si>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</si>
  <si>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</si>
  <si>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</si>
  <si>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</si>
  <si>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</si>
  <si>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</si>
  <si>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</si>
  <si>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</si>
  <si>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</si>
  <si>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</si>
  <si>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</si>
  <si>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</si>
  <si>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</si>
  <si>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</si>
  <si>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</si>
  <si>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</si>
  <si>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</si>
  <si>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</si>
  <si>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</si>
  <si>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</si>
  <si>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</si>
  <si>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</si>
  <si>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</si>
  <si>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</si>
  <si>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</si>
  <si>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</si>
  <si>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</si>
  <si>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</si>
  <si>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</si>
  <si>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</si>
  <si>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</si>
  <si>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</si>
  <si>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</si>
  <si>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</si>
  <si>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</si>
  <si>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</si>
  <si>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</si>
  <si>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</si>
  <si>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</si>
  <si>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</si>
  <si>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</si>
  <si>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</si>
  <si>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</si>
  <si>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</si>
  <si>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</si>
  <si>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</si>
  <si>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</si>
  <si>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</si>
  <si>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</si>
  <si>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</si>
  <si>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</si>
  <si>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</si>
  <si>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</si>
  <si>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</si>
  <si>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</si>
  <si>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</si>
  <si>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</si>
  <si>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</si>
  <si>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</si>
  <si>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</si>
  <si>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</si>
  <si>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</si>
  <si>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</si>
  <si>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</si>
  <si>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</si>
  <si>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</si>
  <si>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</si>
  <si>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</si>
  <si>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</si>
  <si>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</si>
  <si>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</si>
  <si>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</si>
  <si>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</si>
  <si>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</si>
  <si>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</si>
  <si>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</si>
  <si>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</si>
  <si>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</si>
  <si>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</si>
  <si>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</si>
  <si>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</si>
  <si>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</si>
  <si>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</si>
  <si>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</si>
  <si>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</si>
  <si>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</si>
  <si>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</si>
  <si>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</si>
  <si>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</si>
  <si>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</si>
  <si>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</si>
  <si>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</si>
  <si>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</si>
  <si>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</si>
  <si>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</si>
  <si>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</si>
  <si>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</si>
  <si>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</si>
  <si>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</si>
  <si>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</si>
  <si>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</si>
  <si>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</si>
  <si>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</si>
  <si>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</si>
  <si>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</si>
  <si>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</si>
  <si>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</si>
  <si>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</si>
  <si>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</si>
  <si>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</si>
  <si>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</si>
  <si>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</si>
  <si>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</si>
  <si>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</si>
  <si>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</si>
  <si>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</si>
  <si>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</si>
  <si>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</si>
  <si>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</si>
  <si>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</si>
  <si>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</si>
  <si>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</si>
  <si>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</si>
  <si>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</si>
  <si>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</si>
  <si>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</si>
  <si>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</si>
  <si>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</si>
  <si>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</si>
  <si>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</si>
  <si>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</si>
  <si>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</si>
  <si>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</si>
  <si>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</si>
  <si>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</si>
  <si>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</si>
  <si>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</si>
  <si>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</si>
  <si>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</si>
  <si>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</si>
  <si>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</si>
  <si>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</si>
  <si>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</si>
  <si>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</si>
  <si>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</si>
  <si>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</si>
  <si>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</si>
  <si>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</si>
  <si>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</si>
  <si>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</si>
  <si>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</si>
  <si>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</si>
  <si>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</si>
  <si>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</si>
  <si>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</si>
  <si>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</si>
  <si>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</si>
  <si>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</si>
  <si>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</si>
  <si>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</si>
  <si>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</si>
  <si>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</si>
  <si>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</si>
  <si>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</si>
  <si>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</si>
  <si>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</si>
  <si>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</si>
  <si>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</si>
  <si>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</si>
  <si>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</si>
  <si>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</si>
  <si>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</si>
  <si>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</si>
  <si>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</si>
  <si>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</si>
  <si>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</si>
  <si>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</si>
  <si>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</si>
  <si>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</si>
  <si>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</si>
  <si>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</si>
  <si>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</si>
  <si>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</si>
  <si>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</si>
  <si>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</si>
  <si>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</si>
  <si>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</si>
  <si>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</si>
  <si>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</si>
  <si>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</si>
  <si>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</si>
  <si>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</si>
  <si>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</si>
  <si>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</si>
  <si>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</si>
  <si>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</si>
  <si>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</si>
  <si>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</si>
  <si>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</si>
  <si>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</si>
  <si>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</si>
  <si>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</si>
  <si>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</si>
  <si>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</si>
  <si>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</si>
  <si>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</si>
  <si>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</si>
  <si>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</si>
  <si>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</si>
  <si>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</si>
  <si>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</si>
  <si>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</si>
  <si>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</si>
  <si>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</si>
  <si>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</si>
  <si>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</si>
  <si>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</si>
  <si>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</si>
  <si>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</si>
  <si>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</si>
  <si>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</si>
  <si>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</si>
  <si>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</si>
  <si>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</si>
  <si>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</si>
  <si>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</si>
  <si>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</si>
  <si>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</si>
  <si>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</si>
  <si>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</si>
  <si>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</si>
  <si>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</si>
  <si>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</si>
  <si>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</si>
  <si>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</si>
  <si>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</si>
  <si>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</si>
  <si>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</si>
  <si>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</si>
  <si>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</si>
  <si>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</si>
  <si>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</si>
  <si>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</si>
  <si>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</si>
  <si>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</si>
  <si>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</si>
  <si>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</si>
  <si>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</si>
  <si>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</si>
  <si>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</si>
  <si>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</si>
  <si>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</si>
  <si>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</si>
  <si>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</si>
  <si>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</si>
  <si>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</si>
  <si>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</si>
  <si>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</si>
  <si>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</si>
  <si>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</si>
  <si>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</si>
  <si>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</si>
  <si>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</si>
  <si>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</si>
  <si>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</si>
  <si>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</si>
  <si>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</si>
  <si>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</si>
  <si>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</si>
  <si>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</si>
  <si>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</si>
  <si>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</si>
  <si>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</si>
  <si>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</si>
  <si>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</si>
  <si>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</si>
  <si>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</si>
  <si>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</si>
  <si>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</si>
  <si>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</si>
  <si>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</si>
  <si>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</si>
  <si>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</si>
  <si>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</si>
  <si>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</si>
  <si>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</si>
  <si>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</si>
  <si>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</si>
  <si>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</si>
  <si>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</si>
  <si>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</si>
  <si>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</si>
  <si>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</si>
  <si>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</si>
  <si>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</si>
  <si>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</si>
  <si>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</si>
  <si>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</si>
  <si>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</si>
  <si>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</si>
  <si>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</si>
  <si>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</si>
  <si>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</si>
  <si>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</si>
  <si>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</si>
  <si>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</si>
  <si>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</si>
  <si>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</si>
  <si>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</si>
  <si>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</si>
  <si>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</si>
  <si>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</si>
  <si>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</si>
  <si>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</si>
  <si>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</si>
  <si>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</si>
  <si>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</si>
  <si>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</si>
  <si>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</si>
  <si>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</si>
  <si>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</si>
  <si>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</si>
  <si>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</si>
  <si>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</si>
  <si>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</si>
  <si>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</si>
  <si>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</si>
  <si>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</si>
  <si>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</si>
  <si>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</si>
  <si>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</si>
  <si>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</si>
  <si>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</si>
  <si>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</si>
  <si>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</si>
  <si>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</si>
  <si>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</si>
  <si>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</si>
  <si>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</si>
  <si>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</si>
  <si>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</si>
  <si>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</si>
  <si>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</si>
  <si>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</si>
  <si>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</si>
  <si>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</si>
  <si>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</si>
  <si>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</si>
  <si>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</si>
  <si>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</si>
  <si>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</si>
  <si>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</si>
  <si>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</si>
  <si>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</si>
  <si>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</si>
  <si>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</si>
  <si>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</si>
  <si>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</si>
  <si>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</si>
  <si>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</si>
  <si>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</si>
  <si>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</si>
  <si>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</si>
  <si>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</si>
  <si>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</si>
  <si>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</si>
  <si>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</si>
  <si>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</si>
  <si>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</si>
  <si>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</si>
  <si>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</si>
  <si>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</si>
  <si>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</si>
  <si>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</si>
  <si>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</si>
  <si>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</si>
  <si>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</si>
  <si>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</si>
  <si>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</si>
  <si>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</si>
  <si>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</si>
  <si>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</si>
  <si>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</si>
  <si>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</si>
  <si>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</si>
  <si>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</si>
  <si>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</si>
  <si>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</si>
  <si>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</si>
  <si>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</si>
  <si>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</si>
  <si>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</si>
  <si>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</si>
  <si>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</si>
  <si>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</si>
  <si>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</si>
  <si>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</si>
  <si>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</si>
  <si>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</si>
  <si>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</si>
  <si>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</si>
  <si>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</si>
  <si>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</si>
  <si>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</si>
  <si>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</si>
  <si>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</si>
  <si>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</si>
  <si>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</si>
  <si>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</si>
  <si>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</si>
  <si>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</si>
  <si>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</si>
  <si>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</si>
  <si>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</si>
  <si>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</si>
  <si>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</si>
  <si>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</si>
  <si>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</si>
  <si>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</si>
  <si>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</si>
  <si>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</si>
  <si>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</si>
  <si>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</si>
  <si>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</si>
  <si>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</si>
  <si>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</si>
  <si>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</si>
  <si>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</si>
  <si>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</si>
  <si>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</si>
  <si>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</si>
  <si>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</si>
  <si>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</si>
  <si>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</si>
  <si>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</si>
  <si>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</si>
  <si>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</si>
  <si>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</si>
  <si>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</si>
  <si>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</si>
  <si>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</si>
  <si>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</si>
  <si>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</si>
  <si>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</si>
  <si>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</si>
  <si>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</si>
  <si>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</si>
  <si>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</si>
  <si>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</si>
  <si>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</si>
  <si>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</si>
  <si>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</si>
  <si>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</si>
  <si>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</si>
  <si>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</si>
  <si>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</si>
  <si>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</si>
  <si>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</si>
  <si>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</si>
  <si>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</si>
  <si>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</si>
  <si>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</si>
  <si>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</si>
  <si>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</si>
  <si>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</si>
  <si>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</si>
  <si>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</si>
  <si>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</si>
  <si>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</si>
  <si>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</si>
  <si>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</si>
  <si>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</si>
  <si>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</si>
  <si>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</si>
  <si>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</si>
  <si>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</si>
  <si>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</si>
  <si>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</si>
  <si>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</si>
  <si>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</si>
  <si>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</si>
  <si>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</si>
  <si>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</si>
  <si>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</si>
  <si>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</si>
  <si>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</si>
  <si>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</si>
  <si>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</si>
  <si>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</si>
  <si>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</si>
  <si>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</si>
  <si>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</si>
  <si>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</si>
  <si>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</si>
  <si>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</si>
  <si>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</si>
  <si>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</si>
  <si>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</si>
  <si>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</si>
  <si>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</si>
  <si>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</si>
  <si>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</si>
  <si>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</si>
  <si>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</si>
  <si>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</si>
  <si>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</si>
  <si>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</si>
  <si>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</si>
  <si>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</si>
  <si>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</si>
  <si>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</si>
  <si>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</si>
  <si>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</si>
  <si>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</si>
  <si>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</si>
  <si>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</si>
  <si>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</si>
  <si>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</si>
  <si>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</si>
  <si>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</si>
  <si>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</si>
  <si>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</si>
  <si>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</si>
  <si>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</si>
  <si>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</si>
  <si>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</si>
  <si>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</si>
  <si>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</si>
  <si>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</si>
  <si>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</si>
  <si>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</si>
  <si>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</si>
  <si>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</si>
  <si>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</si>
  <si>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</si>
  <si>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</si>
  <si>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</si>
  <si>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</si>
  <si>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</si>
  <si>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</si>
  <si>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</si>
  <si>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</si>
  <si>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</si>
  <si>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</si>
  <si>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</si>
  <si>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</si>
  <si>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</si>
  <si>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</si>
  <si>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</si>
  <si>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</si>
  <si>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</si>
  <si>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</si>
  <si>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</si>
  <si>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</si>
  <si>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</si>
  <si>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</si>
  <si>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</si>
  <si>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</si>
  <si>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</si>
  <si>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</si>
  <si>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</si>
  <si>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</si>
  <si>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</si>
  <si>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</si>
  <si>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</si>
  <si>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</si>
  <si>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</si>
  <si>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</si>
  <si>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</si>
  <si>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</si>
  <si>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</si>
  <si>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</si>
  <si>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</si>
  <si>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</si>
  <si>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</si>
  <si>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</si>
  <si>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</si>
  <si>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</si>
  <si>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</si>
  <si>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</si>
  <si>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</si>
  <si>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</si>
  <si>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</si>
  <si>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</si>
  <si>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</si>
  <si>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</si>
  <si>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</si>
  <si>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</si>
  <si>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</si>
  <si>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</si>
  <si>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</si>
  <si>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</si>
  <si>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</si>
  <si>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</si>
  <si>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</si>
  <si>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</si>
  <si>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</si>
  <si>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</si>
  <si>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</si>
  <si>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</si>
  <si>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</si>
  <si>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</si>
  <si>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</si>
  <si>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</si>
  <si>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</si>
  <si>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</si>
  <si>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</si>
  <si>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</si>
  <si>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</si>
  <si>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</si>
  <si>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</si>
  <si>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</si>
  <si>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</si>
  <si>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</si>
  <si>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</si>
  <si>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</si>
  <si>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</si>
  <si>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</si>
  <si>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</si>
  <si>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</si>
  <si>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</si>
  <si>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</si>
  <si>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</si>
  <si>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</si>
  <si>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</si>
  <si>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</si>
  <si>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</si>
  <si>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</si>
  <si>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</si>
  <si>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</si>
  <si>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</si>
  <si>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</si>
  <si>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</si>
  <si>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</si>
  <si>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</si>
  <si>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</si>
  <si>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</si>
  <si>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</si>
  <si>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</si>
  <si>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</si>
  <si>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</si>
  <si>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</si>
  <si>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</si>
  <si>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</si>
  <si>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</si>
  <si>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</si>
  <si>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</si>
  <si>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</si>
  <si>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</si>
  <si>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</si>
  <si>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</si>
  <si>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</si>
  <si>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</si>
  <si>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</si>
  <si>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</si>
  <si>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</si>
  <si>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</si>
  <si>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</si>
  <si>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</si>
  <si>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</si>
  <si>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</si>
  <si>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</si>
  <si>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</si>
  <si>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</si>
  <si>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</si>
  <si>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</si>
  <si>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</si>
  <si>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</si>
  <si>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</si>
  <si>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</si>
  <si>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</si>
  <si>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</si>
  <si>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</si>
  <si>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</si>
  <si>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</si>
  <si>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</si>
  <si>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</si>
  <si>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</si>
  <si>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</si>
  <si>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</si>
  <si>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</si>
  <si>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</si>
  <si>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</si>
  <si>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</si>
  <si>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</si>
  <si>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</si>
  <si>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</si>
  <si>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</si>
  <si>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</si>
  <si>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</si>
  <si>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</si>
  <si>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</si>
  <si>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</si>
  <si>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</si>
  <si>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</si>
  <si>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</si>
  <si>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</si>
  <si>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</si>
  <si>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</si>
  <si>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</si>
  <si>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</si>
  <si>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</si>
  <si>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</si>
  <si>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</si>
  <si>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</si>
  <si>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</si>
  <si>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</si>
  <si>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</si>
  <si>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</si>
  <si>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</si>
  <si>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</si>
  <si>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</si>
  <si>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</si>
  <si>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</si>
  <si>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</si>
  <si>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</si>
  <si>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</si>
  <si>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</si>
  <si>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</si>
  <si>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</si>
  <si>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</si>
  <si>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</si>
  <si>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</si>
  <si>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</si>
  <si>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</si>
  <si>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</si>
  <si>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</si>
  <si>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</si>
  <si>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</si>
  <si>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</si>
  <si>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</si>
  <si>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</si>
  <si>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</si>
  <si>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</si>
  <si>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</si>
  <si>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</si>
  <si>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</si>
  <si>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</si>
  <si>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</si>
  <si>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</si>
  <si>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</si>
  <si>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</si>
  <si>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</si>
  <si>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</si>
  <si>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</si>
  <si>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</si>
  <si>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</si>
  <si>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</si>
  <si>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</si>
  <si>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</si>
  <si>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</si>
  <si>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</si>
  <si>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</si>
  <si>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</si>
  <si>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</si>
  <si>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</si>
  <si>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</si>
  <si>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</si>
  <si>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</si>
  <si>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</si>
  <si>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</si>
  <si>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</si>
  <si>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</si>
  <si>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</si>
  <si>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</si>
  <si>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</si>
  <si>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</si>
  <si>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</si>
  <si>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</si>
  <si>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</si>
  <si>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</si>
  <si>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</si>
  <si>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</si>
  <si>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</si>
  <si>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</si>
  <si>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</si>
  <si>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</si>
  <si>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</si>
  <si>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</si>
  <si>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</si>
  <si>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</si>
  <si>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</si>
  <si>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</si>
  <si>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</si>
  <si>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</si>
  <si>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</si>
  <si>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</si>
  <si>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</si>
  <si>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</si>
  <si>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</si>
  <si>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</si>
  <si>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</si>
  <si>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</si>
  <si>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</si>
  <si>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</si>
  <si>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</si>
  <si>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</si>
  <si>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</si>
  <si>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</si>
  <si>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</si>
  <si>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</si>
  <si>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</si>
  <si>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</si>
  <si>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</si>
  <si>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</si>
  <si>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</si>
  <si>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</si>
  <si>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</si>
  <si>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</si>
  <si>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</si>
  <si>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</si>
  <si>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</si>
  <si>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</si>
  <si>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</si>
  <si>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</si>
  <si>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</si>
  <si>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</si>
  <si>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</si>
  <si>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</si>
  <si>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</si>
  <si>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</si>
  <si>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</si>
  <si>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</si>
  <si>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</si>
  <si>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</si>
  <si>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</si>
  <si>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</si>
  <si>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</si>
  <si>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</si>
  <si>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</si>
  <si>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</si>
  <si>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</si>
  <si>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</si>
  <si>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</si>
  <si>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</si>
  <si>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</si>
  <si>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</si>
  <si>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</si>
  <si>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</si>
  <si>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</si>
  <si>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</si>
  <si>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</si>
  <si>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</si>
  <si>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</si>
  <si>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</si>
  <si>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</si>
  <si>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</si>
  <si>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</si>
  <si>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</si>
  <si>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</si>
  <si>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</si>
  <si>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</si>
  <si>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</si>
  <si>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</si>
  <si>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</si>
  <si>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</si>
  <si>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</si>
  <si>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</si>
  <si>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</si>
  <si>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</si>
  <si>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</si>
  <si>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</si>
  <si>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</si>
  <si>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</si>
  <si>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</si>
  <si>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</si>
  <si>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</si>
  <si>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</si>
  <si>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</si>
  <si>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</si>
  <si>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</si>
  <si>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</si>
  <si>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</si>
  <si>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</si>
  <si>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</si>
  <si>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</si>
  <si>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</si>
  <si>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</si>
  <si>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</si>
  <si>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</si>
  <si>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</si>
  <si>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</si>
  <si>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</si>
  <si>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</si>
  <si>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</si>
  <si>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</si>
  <si>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</si>
  <si>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</si>
  <si>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</si>
  <si>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</si>
  <si>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</si>
  <si>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</si>
  <si>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</si>
  <si>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</si>
  <si>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</si>
  <si>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</si>
  <si>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</si>
  <si>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</si>
  <si>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</si>
  <si>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</si>
  <si>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</si>
  <si>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</si>
  <si>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</si>
  <si>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</si>
  <si>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</si>
  <si>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</si>
  <si>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</si>
  <si>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</si>
  <si>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</si>
  <si>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</si>
  <si>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</si>
  <si>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</si>
  <si>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</si>
  <si>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</si>
  <si>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</si>
  <si>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</si>
  <si>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</si>
  <si>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</si>
  <si>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</si>
  <si>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</si>
  <si>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</si>
  <si>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</si>
  <si>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</si>
  <si>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</si>
  <si>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</si>
  <si>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</si>
  <si>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</si>
  <si>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</si>
  <si>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</si>
  <si>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</si>
  <si>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</si>
  <si>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</si>
  <si>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</si>
  <si>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</si>
  <si>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</si>
  <si>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</si>
  <si>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</si>
  <si>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</si>
  <si>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</si>
  <si>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</si>
  <si>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</si>
  <si>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</si>
  <si>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</si>
  <si>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</si>
  <si>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</si>
  <si>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</si>
  <si>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</si>
  <si>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</si>
  <si>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</si>
  <si>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</si>
  <si>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</si>
  <si>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</si>
  <si>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</si>
  <si>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</si>
  <si>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</si>
  <si>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</si>
  <si>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</si>
  <si>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</si>
  <si>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</si>
  <si>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</si>
  <si>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</si>
  <si>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</si>
  <si>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</si>
  <si>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</si>
  <si>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</si>
  <si>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</si>
  <si>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</si>
  <si>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</si>
  <si>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</si>
  <si>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</si>
  <si>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</si>
  <si>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</si>
  <si>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</si>
  <si>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</si>
  <si>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</si>
  <si>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</si>
  <si>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</si>
  <si>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</si>
  <si>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</si>
  <si>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</si>
  <si>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</si>
  <si>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</si>
  <si>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</si>
  <si>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</si>
  <si>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</si>
  <si>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</si>
  <si>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</si>
  <si>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</si>
  <si>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</si>
  <si>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</si>
  <si>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</si>
  <si>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</si>
  <si>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</si>
  <si>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</si>
  <si>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</si>
  <si>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</si>
  <si>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</si>
  <si>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</si>
  <si>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</si>
  <si>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</si>
  <si>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</si>
  <si>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</si>
  <si>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</si>
  <si>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</si>
  <si>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</si>
  <si>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</si>
  <si>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</si>
  <si>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</si>
  <si>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</si>
  <si>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</si>
  <si>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</si>
  <si>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</si>
  <si>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</si>
  <si>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</si>
  <si>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</si>
  <si>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</si>
  <si>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</si>
  <si>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</si>
  <si>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</si>
  <si>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</si>
  <si>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</si>
  <si>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</si>
  <si>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</si>
  <si>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</si>
  <si>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</si>
  <si>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</si>
  <si>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</si>
  <si>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</si>
  <si>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</si>
  <si>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</si>
  <si>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</si>
  <si>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</si>
  <si>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</si>
  <si>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</si>
  <si>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</si>
  <si>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</si>
  <si>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</si>
  <si>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</si>
  <si>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</si>
  <si>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</si>
  <si>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</si>
  <si>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</si>
  <si>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</si>
  <si>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</si>
  <si>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</si>
  <si>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</si>
  <si>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</si>
  <si>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</si>
  <si>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</si>
  <si>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</si>
  <si>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</si>
  <si>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</si>
  <si>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</si>
  <si>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</si>
  <si>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</si>
  <si>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</si>
  <si>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</si>
  <si>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</si>
  <si>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</si>
  <si>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</si>
  <si>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</si>
  <si>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</si>
  <si>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</si>
  <si>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</si>
  <si>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</si>
  <si>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</si>
  <si>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</si>
  <si>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</si>
  <si>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</si>
  <si>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</si>
  <si>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</si>
  <si>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</si>
  <si>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</si>
  <si>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</si>
  <si>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</si>
  <si>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</si>
  <si>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</si>
  <si>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</si>
  <si>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</si>
  <si>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</si>
  <si>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</si>
  <si>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</si>
  <si>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</si>
  <si>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</si>
  <si>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</si>
  <si>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</si>
  <si>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</si>
  <si>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</si>
  <si>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</si>
  <si>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</si>
  <si>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</si>
  <si>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</si>
  <si>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</si>
  <si>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</si>
  <si>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</si>
  <si>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</si>
  <si>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</si>
  <si>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</si>
  <si>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</si>
  <si>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</si>
  <si>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</si>
  <si>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</si>
  <si>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</si>
  <si>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</si>
  <si>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</si>
  <si>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</si>
  <si>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</si>
  <si>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</si>
  <si>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</si>
  <si>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</si>
  <si>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</si>
  <si>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</si>
  <si>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</si>
  <si>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</si>
  <si>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</si>
  <si>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</si>
  <si>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</si>
  <si>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</si>
  <si>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</si>
  <si>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</si>
  <si>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</si>
  <si>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</si>
  <si>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</si>
  <si>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</si>
  <si>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</si>
  <si>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</si>
  <si>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</si>
  <si>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</si>
  <si>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</si>
  <si>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</si>
  <si>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</si>
  <si>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</si>
  <si>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</si>
  <si>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</si>
  <si>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</si>
  <si>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</si>
  <si>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</si>
  <si>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</si>
  <si>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</si>
  <si>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</si>
  <si>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</si>
  <si>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</si>
  <si>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</si>
  <si>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</si>
  <si>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</si>
  <si>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</si>
  <si>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</si>
  <si>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</si>
  <si>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</si>
  <si>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</si>
  <si>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</si>
  <si>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</si>
  <si>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</si>
  <si>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</si>
  <si>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</si>
  <si>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</si>
  <si>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</si>
  <si>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</si>
  <si>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</si>
  <si>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</si>
  <si>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</si>
  <si>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</si>
  <si>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</si>
  <si>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</si>
  <si>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</si>
  <si>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</si>
  <si>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</si>
  <si>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</si>
  <si>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</si>
  <si>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</si>
  <si>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</si>
  <si>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</si>
  <si>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</si>
  <si>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</si>
  <si>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</si>
  <si>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</si>
  <si>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</si>
  <si>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</si>
  <si>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</si>
  <si>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</si>
  <si>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</si>
  <si>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</si>
  <si>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</si>
  <si>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</si>
  <si>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</si>
  <si>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</si>
  <si>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</si>
  <si>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</si>
  <si>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</si>
  <si>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</si>
  <si>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</si>
  <si>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</si>
  <si>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</si>
  <si>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</si>
  <si>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</si>
  <si>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</si>
  <si>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</si>
  <si>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</si>
  <si>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</si>
  <si>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</si>
  <si>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</si>
  <si>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</si>
  <si>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</si>
  <si>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</si>
  <si>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</si>
  <si>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</si>
  <si>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</si>
  <si>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</si>
  <si>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</si>
  <si>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</si>
  <si>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</si>
  <si>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</si>
  <si>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</si>
  <si>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</si>
  <si>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</si>
  <si>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</si>
  <si>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</si>
  <si>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</si>
  <si>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</si>
  <si>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</si>
  <si>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</si>
  <si>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</si>
  <si>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</si>
  <si>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</si>
  <si>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</si>
  <si>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</si>
  <si>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</si>
  <si>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</si>
  <si>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</si>
  <si>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</si>
  <si>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</si>
  <si>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</si>
  <si>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</si>
  <si>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</si>
  <si>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</si>
  <si>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</si>
  <si>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</si>
  <si>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</si>
  <si>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</si>
  <si>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</si>
  <si>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</si>
  <si>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</si>
  <si>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</si>
  <si>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</si>
  <si>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</si>
  <si>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</si>
  <si>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</si>
  <si>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</si>
  <si>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</si>
  <si>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</si>
  <si>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</si>
  <si>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</si>
  <si>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</si>
  <si>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</si>
  <si>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</si>
  <si>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</si>
  <si>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</si>
  <si>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</si>
  <si>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</si>
  <si>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</si>
  <si>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</si>
  <si>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</si>
  <si>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</si>
  <si>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</si>
  <si>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</si>
  <si>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</si>
  <si>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</si>
  <si>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</si>
  <si>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</si>
  <si>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</si>
  <si>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</si>
  <si>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</si>
  <si>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</si>
  <si>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</si>
  <si>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</si>
  <si>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</si>
  <si>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</si>
  <si>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</si>
  <si>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</si>
  <si>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</si>
  <si>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</si>
  <si>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</si>
  <si>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</si>
  <si>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</si>
  <si>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</si>
  <si>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</si>
  <si>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</si>
  <si>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</si>
  <si>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</si>
  <si>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</si>
  <si>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</si>
  <si>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</si>
  <si>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</si>
  <si>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</si>
  <si>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</si>
  <si>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</si>
  <si>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</si>
  <si>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</si>
  <si>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</si>
  <si>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</si>
  <si>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</si>
  <si>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</si>
  <si>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</si>
  <si>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</si>
  <si>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</si>
  <si>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</si>
  <si>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</si>
  <si>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</si>
  <si>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</si>
  <si>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</si>
  <si>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</si>
  <si>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</si>
  <si>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</si>
  <si>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</si>
  <si>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</si>
  <si>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</si>
  <si>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</si>
  <si>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</si>
  <si>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</si>
  <si>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</si>
  <si>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</si>
  <si>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</si>
  <si>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</si>
  <si>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</si>
  <si>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</si>
  <si>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</si>
  <si>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</si>
  <si>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</si>
  <si>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</si>
  <si>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</si>
  <si>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</si>
  <si>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</si>
  <si>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</si>
  <si>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</si>
  <si>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</si>
  <si>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</si>
  <si>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</si>
  <si>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</si>
  <si>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</si>
  <si>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</si>
  <si>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</si>
  <si>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</si>
  <si>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</si>
  <si>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</si>
  <si>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</si>
  <si>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</si>
  <si>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</si>
  <si>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</si>
  <si>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</si>
  <si>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</si>
  <si>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</si>
  <si>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</si>
  <si>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</si>
  <si>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</si>
  <si>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</si>
  <si>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</si>
  <si>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</si>
  <si>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</si>
  <si>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</si>
  <si>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</si>
  <si>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</si>
  <si>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</si>
  <si>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</si>
  <si>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</si>
  <si>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</si>
  <si>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</si>
  <si>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</si>
  <si>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</si>
  <si>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</si>
  <si>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</si>
  <si>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</si>
  <si>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</si>
  <si>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</si>
  <si>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</si>
  <si>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</si>
  <si>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</si>
  <si>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</si>
  <si>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</si>
  <si>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</si>
  <si>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</si>
  <si>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</si>
  <si>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</si>
  <si>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</si>
  <si>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</si>
  <si>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</si>
  <si>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</si>
  <si>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</si>
  <si>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</si>
  <si>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</si>
  <si>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</si>
  <si>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</si>
  <si>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</si>
  <si>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</si>
  <si>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</si>
  <si>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</si>
  <si>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</si>
  <si>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</si>
  <si>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</si>
  <si>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</si>
  <si>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</si>
  <si>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</si>
  <si>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</si>
  <si>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</si>
  <si>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</si>
  <si>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</si>
  <si>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</si>
  <si>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</si>
  <si>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</si>
  <si>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</si>
  <si>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</si>
  <si>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</si>
  <si>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</si>
  <si>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</si>
  <si>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</si>
  <si>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</si>
  <si>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</si>
  <si>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</si>
  <si>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</si>
  <si>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</si>
  <si>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</si>
  <si>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</si>
  <si>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</si>
  <si>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</si>
  <si>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</si>
  <si>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</si>
  <si>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</si>
  <si>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</si>
  <si>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</si>
  <si>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</si>
  <si>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</si>
  <si>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</si>
  <si>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</si>
  <si>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</si>
  <si>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</si>
  <si>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</si>
  <si>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</si>
  <si>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</si>
  <si>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</si>
  <si>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</si>
  <si>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</si>
  <si>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</si>
  <si>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</si>
  <si>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</si>
  <si>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</si>
  <si>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</si>
  <si>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</si>
  <si>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</si>
  <si>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</si>
  <si>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</si>
  <si>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</si>
  <si>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</si>
  <si>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</si>
  <si>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</si>
  <si>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</si>
  <si>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</si>
  <si>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</si>
  <si>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</si>
  <si>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</si>
  <si>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</si>
  <si>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</si>
  <si>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</si>
  <si>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</si>
  <si>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</si>
  <si>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</si>
  <si>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</si>
  <si>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</si>
  <si>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</si>
  <si>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</si>
  <si>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</si>
  <si>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</si>
  <si>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</si>
  <si>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</si>
  <si>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</si>
  <si>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</si>
  <si>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</si>
  <si>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</si>
  <si>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</si>
  <si>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</si>
  <si>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</si>
  <si>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</si>
  <si>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</si>
  <si>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</si>
  <si>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</si>
  <si>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</si>
  <si>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</si>
  <si>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</si>
  <si>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</si>
  <si>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</si>
  <si>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</si>
  <si>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</si>
  <si>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</si>
  <si>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</si>
  <si>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</si>
  <si>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</si>
  <si>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</si>
  <si>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</si>
  <si>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</si>
  <si>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</si>
  <si>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</si>
  <si>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</si>
  <si>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</si>
  <si>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</si>
  <si>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</si>
  <si>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</si>
  <si>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</si>
  <si>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</si>
  <si>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</si>
  <si>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</si>
  <si>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</si>
  <si>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</si>
  <si>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</si>
  <si>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</si>
  <si>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</si>
  <si>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</si>
  <si>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</si>
  <si>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</si>
  <si>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</si>
  <si>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</si>
  <si>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</si>
  <si>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</si>
  <si>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</si>
  <si>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</si>
  <si>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</si>
  <si>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</si>
  <si>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</si>
  <si>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</si>
  <si>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</si>
  <si>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</si>
  <si>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</si>
  <si>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</si>
  <si>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</si>
  <si>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</si>
  <si>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</si>
  <si>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</si>
  <si>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</si>
  <si>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</si>
  <si>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</si>
  <si>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</si>
  <si>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</si>
  <si>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</si>
  <si>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</si>
  <si>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</si>
  <si>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</si>
  <si>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</si>
  <si>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</si>
  <si>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</si>
  <si>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</si>
  <si>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</si>
  <si>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</si>
  <si>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</si>
  <si>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</si>
  <si>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</si>
  <si>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</si>
  <si>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</si>
  <si>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</si>
  <si>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</si>
  <si>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</si>
  <si>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</si>
  <si>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</si>
  <si>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</si>
  <si>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</si>
  <si>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</si>
  <si>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</si>
  <si>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</si>
  <si>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</si>
  <si>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</si>
  <si>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</si>
  <si>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</si>
  <si>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</si>
  <si>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</si>
  <si>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</si>
  <si>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</si>
  <si>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</si>
  <si>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</si>
  <si>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</si>
  <si>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</si>
  <si>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</si>
  <si>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</si>
  <si>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</si>
  <si>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</si>
  <si>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</si>
  <si>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</si>
  <si>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</si>
  <si>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</si>
  <si>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</si>
  <si>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</si>
  <si>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</si>
  <si>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</si>
  <si>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</si>
  <si>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</si>
  <si>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</si>
  <si>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</si>
  <si>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</si>
  <si>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</si>
  <si>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</si>
  <si>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</si>
  <si>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</si>
  <si>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</si>
  <si>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</si>
  <si>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</si>
  <si>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</si>
  <si>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</si>
  <si>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</si>
  <si>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</si>
  <si>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</si>
  <si>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</si>
  <si>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</si>
  <si>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</si>
  <si>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</si>
  <si>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</si>
  <si>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</si>
  <si>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</si>
  <si>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</si>
  <si>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</si>
  <si>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</si>
  <si>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</si>
  <si>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</si>
  <si>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</si>
  <si>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</si>
  <si>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</si>
  <si>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</si>
  <si>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</si>
  <si>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</si>
  <si>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</si>
  <si>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</si>
  <si>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</si>
  <si>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</si>
  <si>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</si>
  <si>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</si>
  <si>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</si>
  <si>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</si>
  <si>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</si>
  <si>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</si>
  <si>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</si>
  <si>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</si>
  <si>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</si>
  <si>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</si>
  <si>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</si>
  <si>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</si>
  <si>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</si>
  <si>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</si>
  <si>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</si>
  <si>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</si>
  <si>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</si>
  <si>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</si>
  <si>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</si>
  <si>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</si>
  <si>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</si>
  <si>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</si>
  <si>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</si>
  <si>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</si>
  <si>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</si>
  <si>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</si>
  <si>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</si>
  <si>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</si>
  <si>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</si>
  <si>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</si>
  <si>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</si>
  <si>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</si>
  <si>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</si>
  <si>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</si>
  <si>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</si>
  <si>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</si>
  <si>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</si>
  <si>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</si>
  <si>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</si>
  <si>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</si>
  <si>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</si>
  <si>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</si>
  <si>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</si>
  <si>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</si>
  <si>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</si>
  <si>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</si>
  <si>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</si>
  <si>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</si>
  <si>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</si>
  <si>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</si>
  <si>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</si>
  <si>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</si>
  <si>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</si>
  <si>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</si>
  <si>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</si>
  <si>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</si>
  <si>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</si>
  <si>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</si>
  <si>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</si>
  <si>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</si>
  <si>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</si>
  <si>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</si>
  <si>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</si>
  <si>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</si>
  <si>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</si>
  <si>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</si>
  <si>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</si>
  <si>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</si>
  <si>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</si>
  <si>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</si>
  <si>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</si>
  <si>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</si>
  <si>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</si>
  <si>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</si>
  <si>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</si>
  <si>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</si>
  <si>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</si>
  <si>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</si>
  <si>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</si>
  <si>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</si>
  <si>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</si>
  <si>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</si>
  <si>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</si>
  <si>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</si>
  <si>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</si>
  <si>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</si>
  <si>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</si>
  <si>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</si>
  <si>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</si>
  <si>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</si>
  <si>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</si>
  <si>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</si>
  <si>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</si>
  <si>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</si>
  <si>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</si>
  <si>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</si>
  <si>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</si>
  <si>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</si>
  <si>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</si>
  <si>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</si>
  <si>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</si>
  <si>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</si>
  <si>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</si>
  <si>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</si>
  <si>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</si>
  <si>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</si>
  <si>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</si>
  <si>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</si>
  <si>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</si>
  <si>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</si>
  <si>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</si>
  <si>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</si>
  <si>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</si>
  <si>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</si>
  <si>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</si>
  <si>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</si>
  <si>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</si>
  <si>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</si>
  <si>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</si>
  <si>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</si>
  <si>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</si>
  <si>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</si>
  <si>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</si>
  <si>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</si>
  <si>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</si>
  <si>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</si>
  <si>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</si>
  <si>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</si>
  <si>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</si>
  <si>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</si>
  <si>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</si>
  <si>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</si>
  <si>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</si>
  <si>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</si>
  <si>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</si>
  <si>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</si>
  <si>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</si>
  <si>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</si>
  <si>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</si>
  <si>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</si>
  <si>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</si>
  <si>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</si>
  <si>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</si>
  <si>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</si>
  <si>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</si>
  <si>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</si>
  <si>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</si>
  <si>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</si>
  <si>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</si>
  <si>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</si>
  <si>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</si>
  <si>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</si>
  <si>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</si>
  <si>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</si>
  <si>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</si>
  <si>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</si>
  <si>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</si>
  <si>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</si>
  <si>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</si>
  <si>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</si>
  <si>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</si>
  <si>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</si>
  <si>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</si>
  <si>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</si>
  <si>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</si>
  <si>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</si>
  <si>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</si>
  <si>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</si>
  <si>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</si>
  <si>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</si>
  <si>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</si>
  <si>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</si>
  <si>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</si>
  <si>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</si>
  <si>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</si>
  <si>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</si>
  <si>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</si>
  <si>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</si>
  <si>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</si>
  <si>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</si>
  <si>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</si>
  <si>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</si>
  <si>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</si>
  <si>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</si>
  <si>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</si>
  <si>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</si>
  <si>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</si>
  <si>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</si>
  <si>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</si>
  <si>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</si>
  <si>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</si>
  <si>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</si>
  <si>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</si>
  <si>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</si>
  <si>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</si>
  <si>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</si>
  <si>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</si>
  <si>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</si>
  <si>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</si>
  <si>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</si>
  <si>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</si>
  <si>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</si>
  <si>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</si>
  <si>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</si>
  <si>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</si>
  <si>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</si>
  <si>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</si>
  <si>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</si>
  <si>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</si>
  <si>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</si>
  <si>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</si>
  <si>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</si>
  <si>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</si>
  <si>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</si>
  <si>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</si>
  <si>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</si>
  <si>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</si>
  <si>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</si>
  <si>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</si>
  <si>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</si>
  <si>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</si>
  <si>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</si>
  <si>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</si>
  <si>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</si>
  <si>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</si>
  <si>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</si>
  <si>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</si>
  <si>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</si>
  <si>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</si>
  <si>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</si>
  <si>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</si>
  <si>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</si>
  <si>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</si>
  <si>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</si>
  <si>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</si>
  <si>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</si>
  <si>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</si>
  <si>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</si>
  <si>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</si>
  <si>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</si>
  <si>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</si>
  <si>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</si>
  <si>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</si>
  <si>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</si>
  <si>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</si>
  <si>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</si>
  <si>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</si>
  <si>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</si>
  <si>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</si>
  <si>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</si>
  <si>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</si>
  <si>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</si>
  <si>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</si>
  <si>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</si>
  <si>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</si>
  <si>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</si>
  <si>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</si>
  <si>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</si>
  <si>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</si>
  <si>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</si>
  <si>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</si>
  <si>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</si>
  <si>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</si>
  <si>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</si>
  <si>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</si>
  <si>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</si>
  <si>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</si>
  <si>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</si>
  <si>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</si>
  <si>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</si>
  <si>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</si>
  <si>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</si>
  <si>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</si>
  <si>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</si>
  <si>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</si>
  <si>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</si>
  <si>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</si>
  <si>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</si>
  <si>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</si>
  <si>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</si>
  <si>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</si>
  <si>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</si>
  <si>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</si>
  <si>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</si>
  <si>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</si>
  <si>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</si>
  <si>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</si>
  <si>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</si>
  <si>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</si>
  <si>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</si>
  <si>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</si>
  <si>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</si>
  <si>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</si>
  <si>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</si>
  <si>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</si>
  <si>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</si>
  <si>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</si>
  <si>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</si>
  <si>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</si>
  <si>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</si>
  <si>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</si>
  <si>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</si>
  <si>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</si>
  <si>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</si>
  <si>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</si>
  <si>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</si>
  <si>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</si>
  <si>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</si>
  <si>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</si>
  <si>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</si>
  <si>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</si>
  <si>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</si>
  <si>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</si>
  <si>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</si>
  <si>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</si>
  <si>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</si>
  <si>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</si>
  <si>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</si>
  <si>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</si>
  <si>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</si>
  <si>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</si>
  <si>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</si>
  <si>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</si>
  <si>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</si>
  <si>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</si>
  <si>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</si>
  <si>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</si>
  <si>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</si>
  <si>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</si>
  <si>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</si>
  <si>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</si>
  <si>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</si>
  <si>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</si>
  <si>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</si>
  <si>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</si>
  <si>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</si>
  <si>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</si>
  <si>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</si>
  <si>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</si>
  <si>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</si>
  <si>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</si>
  <si>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</si>
  <si>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</si>
  <si>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</si>
  <si>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</si>
  <si>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</si>
  <si>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</si>
  <si>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</si>
  <si>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</si>
  <si>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</si>
  <si>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</si>
  <si>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</si>
  <si>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</si>
  <si>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</si>
  <si>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</si>
  <si>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</si>
  <si>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</si>
  <si>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</si>
  <si>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</si>
  <si>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</si>
  <si>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</si>
  <si>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</si>
  <si>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</si>
  <si>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</si>
  <si>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</si>
  <si>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</si>
  <si>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</si>
  <si>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</si>
  <si>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</si>
  <si>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</si>
  <si>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</si>
  <si>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</si>
  <si>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</si>
  <si>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</si>
  <si>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</si>
  <si>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</si>
  <si>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</si>
  <si>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</si>
  <si>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</si>
  <si>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</si>
  <si>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</si>
  <si>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</si>
  <si>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</si>
  <si>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</si>
  <si>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</si>
  <si>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</si>
  <si>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</si>
  <si>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</si>
  <si>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</si>
  <si>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</si>
  <si>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</si>
  <si>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</si>
  <si>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</si>
  <si>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</si>
  <si>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</si>
  <si>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</si>
  <si>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</si>
  <si>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</si>
  <si>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</si>
  <si>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</si>
  <si>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</si>
  <si>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</si>
  <si>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</si>
  <si>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</si>
  <si>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</si>
  <si>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</si>
  <si>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</si>
  <si>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</si>
  <si>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</si>
  <si>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</si>
  <si>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</si>
  <si>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</si>
  <si>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</si>
  <si>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</si>
  <si>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</si>
  <si>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</si>
  <si>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</si>
  <si>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</si>
  <si>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</si>
  <si>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</si>
  <si>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</si>
  <si>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</si>
  <si>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</si>
  <si>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</si>
  <si>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</si>
  <si>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</si>
  <si>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</si>
  <si>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</si>
  <si>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</si>
  <si>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</si>
  <si>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</si>
  <si>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</si>
  <si>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</si>
  <si>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</si>
  <si>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</si>
  <si>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</si>
  <si>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</si>
  <si>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</si>
  <si>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</si>
  <si>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</si>
  <si>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</si>
  <si>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</si>
  <si>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</si>
  <si>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</si>
  <si>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</si>
  <si>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</si>
  <si>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</si>
  <si>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</si>
  <si>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</si>
  <si>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</si>
  <si>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</si>
  <si>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</si>
  <si>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</si>
  <si>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</si>
  <si>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</si>
  <si>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</si>
  <si>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</si>
  <si>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</si>
  <si>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</si>
  <si>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</si>
  <si>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</si>
  <si>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</si>
  <si>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</si>
  <si>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</si>
  <si>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</si>
  <si>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</si>
  <si>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</si>
  <si>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</si>
  <si>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</si>
  <si>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</si>
  <si>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</si>
  <si>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</si>
  <si>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</si>
  <si>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</si>
  <si>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</si>
  <si>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</si>
  <si>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</si>
  <si>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</si>
  <si>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</si>
  <si>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</si>
  <si>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</si>
  <si>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</si>
  <si>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</si>
  <si>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</si>
  <si>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</si>
  <si>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</si>
  <si>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</si>
  <si>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</si>
  <si>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</si>
  <si>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</si>
  <si>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</si>
  <si>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</si>
  <si>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</si>
  <si>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</si>
  <si>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</si>
  <si>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</si>
  <si>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</si>
  <si>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</si>
  <si>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</si>
  <si>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</si>
  <si>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</si>
  <si>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</si>
  <si>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</si>
  <si>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</si>
  <si>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</si>
  <si>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</si>
  <si>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</si>
  <si>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</si>
  <si>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</si>
  <si>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</si>
  <si>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</si>
  <si>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</si>
  <si>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</si>
  <si>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</si>
  <si>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</si>
  <si>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</si>
  <si>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</si>
  <si>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</si>
  <si>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</si>
  <si>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</si>
  <si>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</si>
  <si>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</si>
  <si>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</si>
  <si>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</si>
  <si>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</si>
  <si>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</si>
  <si>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</si>
  <si>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</si>
  <si>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</si>
  <si>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</si>
  <si>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</si>
  <si>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</si>
  <si>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</si>
  <si>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</si>
  <si>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</si>
  <si>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</si>
  <si>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</si>
  <si>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</si>
  <si>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</si>
  <si>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</si>
  <si>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</si>
  <si>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</si>
  <si>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</si>
  <si>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</si>
  <si>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</si>
  <si>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</si>
  <si>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</si>
  <si>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</si>
  <si>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</si>
  <si>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</si>
  <si>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</si>
  <si>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</si>
  <si>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</si>
  <si>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</si>
  <si>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</si>
  <si>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</si>
  <si>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</si>
  <si>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</si>
  <si>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</si>
  <si>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</si>
  <si>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</si>
  <si>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</si>
  <si>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</si>
  <si>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</si>
  <si>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</si>
  <si>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</si>
  <si>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</si>
  <si>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</si>
  <si>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</si>
  <si>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</si>
  <si>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</si>
  <si>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</si>
  <si>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</si>
  <si>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</si>
  <si>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</si>
  <si>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</si>
  <si>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</si>
  <si>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</si>
  <si>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</si>
  <si>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</si>
  <si>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</si>
  <si>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</si>
  <si>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</si>
  <si>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</si>
  <si>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</si>
  <si>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</si>
  <si>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</si>
  <si>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</si>
  <si>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</si>
  <si>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</si>
  <si>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</si>
  <si>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</si>
  <si>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</si>
  <si>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</si>
  <si>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</si>
  <si>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</si>
  <si>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</si>
  <si>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</si>
  <si>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</si>
  <si>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</si>
  <si>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</si>
  <si>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</si>
  <si>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</si>
  <si>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</si>
  <si>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</si>
  <si>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</si>
  <si>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</si>
  <si>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</si>
  <si>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</si>
  <si>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</si>
  <si>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</si>
  <si>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</si>
  <si>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</si>
  <si>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</si>
  <si>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</si>
  <si>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</si>
  <si>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</si>
  <si>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</si>
  <si>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</si>
  <si>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</si>
  <si>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</si>
  <si>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</si>
  <si>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</si>
  <si>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</si>
  <si>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</si>
  <si>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</si>
  <si>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</si>
  <si>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</si>
  <si>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</si>
  <si>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</si>
  <si>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</si>
  <si>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</si>
  <si>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</si>
  <si>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</si>
  <si>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</si>
  <si>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</si>
  <si>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</si>
  <si>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</si>
  <si>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</si>
  <si>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</si>
  <si>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</si>
  <si>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</si>
  <si>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</si>
  <si>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</si>
  <si>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</si>
  <si>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</si>
  <si>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</si>
  <si>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</si>
  <si>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</si>
  <si>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</si>
  <si>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</si>
  <si>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</si>
  <si>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</si>
  <si>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</si>
  <si>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</si>
  <si>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</si>
  <si>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</si>
  <si>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</si>
  <si>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</si>
  <si>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</si>
  <si>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</si>
  <si>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</si>
  <si>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</si>
  <si>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</si>
  <si>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</si>
  <si>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</si>
  <si>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</si>
  <si>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</si>
  <si>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</si>
  <si>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</si>
  <si>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</si>
  <si>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</si>
  <si>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</si>
  <si>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</si>
  <si>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</si>
  <si>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</si>
  <si>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</si>
  <si>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</si>
  <si>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</si>
  <si>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</si>
  <si>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</si>
  <si>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</si>
  <si>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</si>
  <si>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</si>
  <si>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</si>
  <si>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</si>
  <si>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</si>
  <si>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</si>
  <si>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</si>
  <si>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</si>
  <si>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</si>
  <si>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</si>
  <si>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</si>
  <si>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</si>
  <si>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</si>
  <si>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</si>
  <si>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</si>
  <si>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</si>
  <si>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</si>
  <si>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</si>
  <si>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</si>
  <si>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</si>
  <si>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</si>
  <si>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</si>
  <si>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</si>
  <si>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</si>
  <si>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</si>
  <si>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</si>
  <si>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</si>
  <si>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</si>
  <si>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</si>
  <si>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</si>
  <si>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</si>
  <si>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</si>
  <si>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</si>
  <si>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</si>
  <si>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</si>
  <si>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</si>
  <si>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</si>
  <si>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</si>
  <si>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</si>
  <si>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</si>
  <si>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</si>
  <si>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</si>
  <si>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</si>
  <si>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</si>
  <si>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</si>
  <si>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</si>
  <si>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</si>
  <si>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</si>
  <si>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</si>
  <si>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</si>
  <si>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</si>
  <si>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</si>
  <si>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</si>
  <si>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</si>
  <si>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</si>
  <si>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</si>
  <si>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</si>
  <si>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</si>
  <si>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</si>
  <si>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</si>
  <si>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</si>
  <si>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</si>
  <si>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</si>
  <si>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</si>
  <si>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</si>
  <si>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</si>
  <si>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</si>
  <si>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</si>
  <si>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</si>
  <si>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</si>
  <si>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</si>
  <si>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</si>
  <si>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</si>
  <si>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</si>
  <si>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</si>
  <si>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</si>
  <si>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</si>
  <si>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</si>
  <si>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</si>
  <si>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</si>
  <si>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</si>
  <si>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</si>
  <si>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</si>
  <si>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</si>
  <si>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</si>
  <si>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</si>
  <si>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</si>
  <si>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</si>
  <si>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</si>
  <si>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</si>
  <si>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</si>
  <si>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</si>
  <si>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</si>
  <si>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</si>
  <si>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</si>
  <si>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</si>
  <si>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</si>
  <si>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</si>
  <si>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</si>
  <si>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</si>
  <si>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</si>
  <si>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</si>
  <si>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</si>
  <si>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</si>
  <si>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</si>
  <si>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</si>
  <si>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</si>
  <si>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</si>
  <si>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</si>
  <si>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</si>
  <si>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</si>
  <si>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</si>
  <si>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</si>
  <si>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</si>
  <si>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</si>
  <si>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</si>
  <si>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</si>
  <si>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</si>
  <si>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</si>
  <si>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</si>
  <si>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</si>
  <si>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</si>
  <si>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</si>
  <si>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</si>
  <si>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</si>
  <si>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</si>
  <si>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</si>
  <si>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</si>
  <si>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</si>
  <si>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</si>
  <si>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</si>
  <si>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</si>
  <si>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</si>
  <si>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</si>
  <si>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</si>
  <si>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</si>
  <si>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</si>
  <si>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</si>
  <si>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</si>
  <si>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</si>
  <si>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</si>
  <si>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</si>
  <si>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</si>
  <si>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</si>
  <si>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</si>
  <si>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</si>
  <si>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</si>
  <si>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</si>
  <si>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</si>
  <si>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</si>
  <si>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</si>
  <si>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</si>
  <si>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</si>
  <si>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</si>
  <si>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</si>
  <si>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</si>
  <si>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</si>
  <si>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</si>
  <si>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</si>
  <si>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</si>
  <si>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</si>
  <si>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</si>
  <si>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</si>
  <si>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</si>
  <si>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</si>
  <si>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</si>
  <si>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</si>
  <si>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</si>
  <si>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</si>
  <si>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</si>
  <si>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</si>
  <si>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</si>
  <si>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</si>
  <si>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</si>
  <si>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</si>
  <si>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</si>
  <si>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</si>
  <si>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</si>
  <si>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</si>
  <si>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</si>
  <si>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</si>
  <si>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</si>
  <si>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</si>
  <si>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</si>
  <si>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</si>
  <si>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</si>
  <si>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</si>
  <si>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</si>
  <si>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</si>
  <si>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</si>
  <si>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</si>
  <si>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</si>
  <si>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</si>
  <si>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</si>
  <si>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</si>
  <si>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</si>
  <si>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</si>
  <si>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</si>
  <si>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</si>
  <si>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</si>
  <si>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</si>
  <si>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</si>
  <si>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</si>
  <si>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</si>
  <si>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</si>
  <si>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</si>
  <si>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</si>
  <si>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</si>
  <si>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</si>
  <si>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</si>
  <si>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</si>
  <si>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</si>
  <si>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</si>
  <si>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</si>
  <si>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</si>
  <si>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</si>
  <si>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</si>
  <si>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</si>
  <si>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</si>
  <si>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</si>
  <si>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</si>
  <si>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</si>
  <si>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</si>
  <si>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</si>
  <si>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</si>
  <si>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</si>
  <si>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</si>
  <si>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</si>
  <si>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</si>
  <si>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</si>
  <si>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</si>
  <si>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</si>
  <si>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</si>
  <si>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</si>
  <si>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</si>
  <si>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</si>
  <si>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</si>
  <si>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</si>
  <si>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</si>
  <si>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</si>
  <si>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</si>
  <si>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</si>
  <si>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</si>
  <si>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</si>
  <si>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</si>
  <si>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</si>
  <si>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</si>
  <si>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</si>
  <si>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</si>
  <si>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</si>
  <si>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</si>
  <si>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</si>
  <si>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</si>
  <si>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</si>
  <si>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</si>
  <si>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</si>
  <si>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</si>
  <si>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</si>
  <si>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</si>
  <si>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</si>
  <si>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</si>
  <si>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</si>
  <si>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</si>
  <si>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</si>
  <si>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</si>
  <si>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</si>
  <si>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</si>
  <si>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</si>
  <si>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</si>
  <si>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</si>
  <si>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</si>
  <si>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</si>
  <si>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</si>
  <si>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</si>
  <si>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</si>
  <si>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</si>
  <si>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</si>
  <si>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</si>
  <si>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</si>
  <si>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</si>
  <si>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</si>
  <si>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</si>
  <si>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</si>
  <si>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</si>
  <si>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</si>
  <si>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</si>
  <si>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</si>
  <si>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</si>
  <si>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</si>
  <si>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</si>
  <si>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</si>
  <si>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</si>
  <si>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</si>
  <si>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</si>
  <si>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</si>
  <si>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</si>
  <si>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</si>
  <si>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</si>
  <si>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</si>
  <si>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</si>
  <si>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</si>
  <si>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</si>
  <si>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</si>
  <si>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</si>
  <si>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</si>
  <si>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</si>
  <si>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</si>
  <si>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</si>
  <si>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</si>
  <si>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</si>
  <si>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</si>
  <si>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</si>
  <si>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</si>
  <si>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</si>
  <si>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</si>
  <si>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</si>
  <si>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</si>
  <si>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</si>
  <si>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</si>
  <si>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</si>
  <si>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</si>
  <si>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</si>
  <si>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</si>
  <si>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</si>
  <si>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</si>
  <si>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</si>
  <si>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</si>
  <si>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</si>
  <si>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</si>
  <si>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</si>
  <si>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</si>
  <si>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</si>
  <si>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</si>
  <si>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</si>
  <si>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</si>
  <si>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</si>
  <si>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</si>
  <si>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</si>
  <si>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</si>
  <si>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</si>
  <si>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</si>
  <si>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</si>
  <si>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</si>
  <si>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</si>
  <si>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</si>
  <si>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</si>
  <si>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</si>
  <si>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</si>
  <si>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</si>
  <si>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</si>
  <si>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</si>
  <si>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</si>
  <si>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</si>
  <si>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</si>
  <si>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</si>
  <si>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</si>
  <si>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</si>
  <si>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</si>
  <si>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</si>
  <si>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</si>
  <si>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</si>
  <si>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</si>
  <si>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</si>
  <si>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</si>
  <si>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</si>
  <si>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</si>
  <si>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</si>
  <si>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</si>
  <si>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</si>
  <si>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</si>
  <si>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</si>
  <si>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</si>
  <si>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</si>
  <si>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</si>
  <si>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</si>
  <si>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</si>
  <si>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</si>
  <si>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</si>
  <si>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</si>
  <si>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</si>
  <si>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</si>
  <si>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</si>
  <si>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</si>
  <si>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</si>
  <si>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</si>
  <si>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</si>
  <si>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</si>
  <si>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</si>
  <si>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</si>
  <si>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</si>
  <si>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</si>
  <si>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</si>
  <si>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</si>
  <si>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</si>
  <si>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</si>
  <si>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</si>
  <si>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</si>
  <si>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</si>
  <si>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</si>
  <si>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</si>
  <si>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</si>
  <si>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</si>
  <si>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</si>
  <si>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</si>
  <si>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</si>
  <si>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</si>
  <si>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</si>
  <si>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</si>
  <si>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</si>
  <si>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</si>
  <si>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</si>
  <si>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</si>
  <si>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</si>
  <si>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</si>
  <si>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</si>
  <si>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</si>
  <si>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</si>
  <si>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</si>
  <si>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</si>
  <si>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</si>
  <si>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</si>
  <si>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</si>
  <si>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</si>
  <si>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</si>
  <si>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</si>
  <si>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</si>
  <si>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</si>
  <si>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</si>
  <si>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</si>
  <si>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</si>
  <si>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</si>
  <si>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</si>
  <si>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</si>
  <si>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</si>
  <si>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</si>
  <si>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</si>
  <si>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</si>
  <si>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</si>
  <si>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 churn Analysis</t>
  </si>
  <si>
    <t>Total customer</t>
  </si>
  <si>
    <t>Churned Customer</t>
  </si>
  <si>
    <t>Churn Rate</t>
  </si>
  <si>
    <t>Retained Customer</t>
  </si>
  <si>
    <t>Average Credit Score</t>
  </si>
  <si>
    <t>Average Age</t>
  </si>
  <si>
    <t>Average Balance</t>
  </si>
  <si>
    <t>Average Estimated Salary</t>
  </si>
  <si>
    <t xml:space="preserve">Average Tenure </t>
  </si>
  <si>
    <t>Average Number of Products</t>
  </si>
  <si>
    <t>Active Members</t>
  </si>
  <si>
    <t>Customer Credit Card</t>
  </si>
  <si>
    <t>Customers by Geography</t>
  </si>
  <si>
    <t xml:space="preserve">France </t>
  </si>
  <si>
    <t>Customer Gender Analysis</t>
  </si>
  <si>
    <t>Active Member Churn Analysis</t>
  </si>
  <si>
    <t>Active Member Churned</t>
  </si>
  <si>
    <t>Total Active Member</t>
  </si>
  <si>
    <t>Active Member churn Rate</t>
  </si>
  <si>
    <t>Churned Customer by Geography</t>
  </si>
  <si>
    <t>Churned Rate of Geography</t>
  </si>
  <si>
    <t>Churn Rate by Gender</t>
  </si>
  <si>
    <t>Churned Analysis by Active membership</t>
  </si>
  <si>
    <t>Inactive Members Churned</t>
  </si>
  <si>
    <t>Total Inactive members</t>
  </si>
  <si>
    <t>Inactive Members Churned Rate</t>
  </si>
  <si>
    <t>Churn Analysis By Number of Product</t>
  </si>
  <si>
    <t>1 Product</t>
  </si>
  <si>
    <t>2 Product</t>
  </si>
  <si>
    <t>3 Product</t>
  </si>
  <si>
    <t>4 Product</t>
  </si>
  <si>
    <t>Churn Rate by Number of Product</t>
  </si>
  <si>
    <t>Churn Analysis by Credit Card</t>
  </si>
  <si>
    <t>Credit Card Holder Churned</t>
  </si>
  <si>
    <t>Total Credit Card Holder</t>
  </si>
  <si>
    <t>Credit Card Holder Churned Rate</t>
  </si>
  <si>
    <t>Churn Analysis by Age</t>
  </si>
  <si>
    <t>Age group 18-30</t>
  </si>
  <si>
    <t>Age group 31-40</t>
  </si>
  <si>
    <t>Age group 41-50</t>
  </si>
  <si>
    <t>Age group 51-60</t>
  </si>
  <si>
    <t>Age Group 61+</t>
  </si>
  <si>
    <t>Churn Rate by Age Group</t>
  </si>
  <si>
    <t>Churn analysis By tenure</t>
  </si>
  <si>
    <t>0-2 Years</t>
  </si>
  <si>
    <t>3-5 Years</t>
  </si>
  <si>
    <t>6-8 Years</t>
  </si>
  <si>
    <t>9-10 Years</t>
  </si>
  <si>
    <t>Churn rate By tenure</t>
  </si>
  <si>
    <t>Churn Analysis by Credit Score</t>
  </si>
  <si>
    <t>300-500</t>
  </si>
  <si>
    <t>501-600</t>
  </si>
  <si>
    <t>601-700</t>
  </si>
  <si>
    <t>701-800</t>
  </si>
  <si>
    <t>801-850</t>
  </si>
  <si>
    <t>851-900</t>
  </si>
  <si>
    <t>Churn Rate by Credit Score</t>
  </si>
  <si>
    <t>Churn Analysis By Balance</t>
  </si>
  <si>
    <t>0-25000</t>
  </si>
  <si>
    <t>25001-50000</t>
  </si>
  <si>
    <t>50001-75000</t>
  </si>
  <si>
    <t>75001-100000</t>
  </si>
  <si>
    <t>100001-150000</t>
  </si>
  <si>
    <t>150001+</t>
  </si>
  <si>
    <t xml:space="preserve">Churned Rate by Balance </t>
  </si>
  <si>
    <t>25001-75000</t>
  </si>
  <si>
    <t>Churn Analysis by Estimated Salary</t>
  </si>
  <si>
    <t>0-50000</t>
  </si>
  <si>
    <t>50001-100000</t>
  </si>
  <si>
    <t>Churn Rate By Estimated Salary</t>
  </si>
  <si>
    <t>Customer Churn Visualization</t>
  </si>
  <si>
    <t>Churn Rate By Geography</t>
  </si>
  <si>
    <t>Churn Rate By Gender</t>
  </si>
  <si>
    <t xml:space="preserve">Male </t>
  </si>
  <si>
    <t>Churn rate by active membership</t>
  </si>
  <si>
    <t>churn rate</t>
  </si>
  <si>
    <t>Active member</t>
  </si>
  <si>
    <t>Inactive Member</t>
  </si>
  <si>
    <t>Churn rate by Number of Products</t>
  </si>
  <si>
    <t xml:space="preserve">Churn Rate </t>
  </si>
  <si>
    <t>Credit card holder</t>
  </si>
  <si>
    <t xml:space="preserve">No Credit Card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</si>
</sst>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4" xfId="0" applyFont="1" applyNumberForma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Geography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Visualization!$A$4:$A$6</c:f>
            </c:strRef>
          </c:cat>
          <c:val>
            <c:numRef>
              <c:f>Visualization!$B$4:$B$6</c:f>
              <c:numCache/>
            </c:numRef>
          </c:val>
        </c:ser>
        <c:axId val="201466281"/>
        <c:axId val="1186458939"/>
      </c:barChart>
      <c:catAx>
        <c:axId val="201466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By Geography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458939"/>
      </c:catAx>
      <c:valAx>
        <c:axId val="118645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66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Gender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Visualization!$B$19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Visualization!$A$20:$A$21</c:f>
            </c:strRef>
          </c:cat>
          <c:val>
            <c:numRef>
              <c:f>Visualization!$B$20:$B$21</c:f>
              <c:numCache/>
            </c:numRef>
          </c:val>
        </c:ser>
        <c:axId val="1589251281"/>
        <c:axId val="420103944"/>
      </c:barChart>
      <c:catAx>
        <c:axId val="1589251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By 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103944"/>
      </c:catAx>
      <c:valAx>
        <c:axId val="420103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9251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active membership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Visualization!$B$29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Visualization!$A$30:$A$31</c:f>
            </c:strRef>
          </c:cat>
          <c:val>
            <c:numRef>
              <c:f>Visualization!$B$30:$B$31</c:f>
              <c:numCache/>
            </c:numRef>
          </c:val>
        </c:ser>
        <c:axId val="1696477939"/>
        <c:axId val="1355125019"/>
      </c:barChart>
      <c:catAx>
        <c:axId val="1696477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by active membership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125019"/>
      </c:catAx>
      <c:valAx>
        <c:axId val="1355125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477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Churn rate by Number of Products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Visualization!$B$42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Visualization!$A$43:$A$46</c:f>
            </c:strRef>
          </c:cat>
          <c:val>
            <c:numRef>
              <c:f>Visualization!$B$43:$B$46</c:f>
              <c:numCache/>
            </c:numRef>
          </c:val>
        </c:ser>
        <c:axId val="818702831"/>
        <c:axId val="480862493"/>
      </c:barChart>
      <c:catAx>
        <c:axId val="81870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by Number of Products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862493"/>
      </c:catAx>
      <c:valAx>
        <c:axId val="480862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8702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Analysis by Credit Card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Visualization!$B$56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Visualization!$A$57:$A$58</c:f>
            </c:strRef>
          </c:cat>
          <c:val>
            <c:numRef>
              <c:f>Visualization!$B$57:$B$58</c:f>
              <c:numCache/>
            </c:numRef>
          </c:val>
        </c:ser>
        <c:axId val="817298260"/>
        <c:axId val="165210529"/>
      </c:barChart>
      <c:catAx>
        <c:axId val="817298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Analysis by Credit Card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210529"/>
      </c:catAx>
      <c:valAx>
        <c:axId val="165210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298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Churn Rate by Age Group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Visualization!$B$68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Visualization!$A$69:$A$73</c:f>
            </c:strRef>
          </c:cat>
          <c:val>
            <c:numRef>
              <c:f>Visualization!$B$69:$B$73</c:f>
              <c:numCache/>
            </c:numRef>
          </c:val>
        </c:ser>
        <c:axId val="1825486557"/>
        <c:axId val="2130786483"/>
      </c:barChart>
      <c:catAx>
        <c:axId val="1825486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by 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786483"/>
      </c:catAx>
      <c:valAx>
        <c:axId val="2130786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Churn Rate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486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266700</xdr:colOff>
      <xdr:row>0</xdr:row>
      <xdr:rowOff>95250</xdr:rowOff>
    </xdr:from>
    <xdr:ext cx="4619625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485775</xdr:colOff>
      <xdr:row>16</xdr:row>
      <xdr:rowOff>19050</xdr:rowOff>
    </xdr:from>
    <xdr:ext cx="3962400" cy="2124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428625</xdr:colOff>
      <xdr:row>27</xdr:row>
      <xdr:rowOff>133350</xdr:rowOff>
    </xdr:from>
    <xdr:ext cx="3962400" cy="2486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352425</xdr:colOff>
      <xdr:row>41</xdr:row>
      <xdr:rowOff>19050</xdr:rowOff>
    </xdr:from>
    <xdr:ext cx="4352925" cy="26765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885825</xdr:colOff>
      <xdr:row>55</xdr:row>
      <xdr:rowOff>142875</xdr:rowOff>
    </xdr:from>
    <xdr:ext cx="3333750" cy="20574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523875</xdr:colOff>
      <xdr:row>67</xdr:row>
      <xdr:rowOff>0</xdr:rowOff>
    </xdr:from>
    <xdr:ext cx="3657600" cy="22574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2025.0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2025.0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2025.0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2025.0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2025.0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2025.0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2025.0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2025.0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2025.0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2025.0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2025.0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2025.0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2025.0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2025.0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2025.0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2025.0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2025.0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2025.0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2025.0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2025.0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2025.0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2025.0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2025.0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2025.0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2025.0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2025.0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2025.0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2025.0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2025.0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2025.0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2025.0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2025.0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2025.0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2025.0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2025.0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2025.0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2025.0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2025.0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2025.0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2025.0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2025.0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2025.0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2025.0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2025.0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2025.0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2025.0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2025.0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2025.0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2025.0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2025.0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2025.0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2025.0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2025.0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2025.0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2025.0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2025.0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2025.0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2025.0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2025.0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2025.0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2025.0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2025.0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2025.0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2025.0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2025.0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2025.0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2025.0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2025.0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2025.0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2025.0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2025.0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2025.0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2025.0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2025.0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2025.0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2025.0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2025.0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2025.0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2025.0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2025.0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2025.0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2025.0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2025.0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2025.0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2025.0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2025.0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2025.0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2025.0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2025.0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2025.0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2025.0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2025.0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2025.0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2025.0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2025.0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2025.0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2025.0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2025.0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2025.0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2025.0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2025.0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2025.0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2025.0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2025.0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2025.0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2025.0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2025.0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2025.0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2025.0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2025.0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2025.0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2025.0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2025.0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2025.0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2025.0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2025.0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2025.0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2025.0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2025.0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2025.0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2025.0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2025.0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2025.0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2025.0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2025.0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2025.0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2025.0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2025.0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2025.0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2025.0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2025.0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2025.0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2025.0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2025.0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2025.0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2025.0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2025.0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2025.0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2025.0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2025.0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2025.0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2025.0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2025.0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2025.0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2025.0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2025.0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2025.0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2025.0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2025.0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2025.0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2025.0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2025.0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2025.0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2025.0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2025.0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2025.0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2025.0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2025.0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2025.0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2025.0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2025.0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2025.0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2025.0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2025.0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2025.0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2025.0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2025.0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2025.0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2025.0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2025.0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2025.0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2025.0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2025.0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2025.0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2025.0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2025.0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2025.0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2025.0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2025.0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2025.0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2025.0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2025.0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2025.0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2025.0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2025.0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2025.0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2025.0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2025.0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2025.0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2025.0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2025.0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2025.0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2025.0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2025.0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2025.0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2025.0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2025.0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2025.0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2025.0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2025.0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2025.0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2025.0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2025.0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2025.0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2025.0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2025.0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2025.0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2025.0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2025.0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2025.0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2025.0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2025.0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2025.0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2025.0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2025.0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2025.0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2025.0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2025.0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2025.0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2025.0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2025.0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2025.0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2025.0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2025.0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2025.0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2025.0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2025.0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2025.0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2025.0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2025.0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2025.0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2025.0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2025.0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2025.0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2025.0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2025.0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2025.0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2025.0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2025.0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2025.0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2025.0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2025.0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2025.0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2025.0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2025.0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2025.0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2025.0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2025.0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2025.0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2025.0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2025.0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2025.0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2025.0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2025.0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2025.0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2025.0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2025.0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2025.0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2025.0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2025.0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2025.0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2025.0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2025.0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2025.0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2025.0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2025.0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2025.0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2025.0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2025.0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2025.0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2025.0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2025.0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2025.0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2025.0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2025.0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2025.0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2025.0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2025.0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2025.0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2025.0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2025.0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2025.0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2025.0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2025.0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2025.0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2025.0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2025.0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2025.0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2025.0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2025.0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2025.0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2025.0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2025.0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2025.0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2025.0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2025.0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2025.0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2025.0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2025.0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2025.0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2025.0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2025.0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2025.0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2025.0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2025.0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2025.0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2025.0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2025.0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2025.0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2025.0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2025.0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2025.0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2025.0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2025.0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2025.0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2025.0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2025.0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2025.0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2025.0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2025.0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2025.0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2025.0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2025.0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2025.0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2025.0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2025.0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2025.0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2025.0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2025.0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2025.0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2025.0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2025.0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2025.0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2025.0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2025.0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2025.0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2025.0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2025.0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2025.0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2025.0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2025.0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2025.0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2025.0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2025.0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2025.0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2025.0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2025.0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2025.0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2025.0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2025.0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2025.0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2025.0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2025.0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2025.0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2025.0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2025.0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2025.0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2025.0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2025.0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2025.0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2025.0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2025.0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2025.0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2025.0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2025.0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2025.0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2025.0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2025.0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2025.0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2025.0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2025.0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2025.0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2025.0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2025.0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2025.0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2025.0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2025.0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2025.0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2025.0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2025.0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2025.0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2025.0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2025.0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2025.0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2025.0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2025.0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2025.0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2025.0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2025.0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2025.0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2025.0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2025.0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2025.0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2025.0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2025.0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2025.0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2025.0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2025.0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2025.0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2025.0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2025.0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2025.0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2025.0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2025.0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2025.0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2025.0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2025.0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2025.0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2025.0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2025.0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2025.0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2025.0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2025.0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2025.0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2025.0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2025.0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2025.0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2025.0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2025.0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2025.0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2025.0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2025.0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2025.0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2025.0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2025.0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2025.0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2025.0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2025.0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2025.0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2025.0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2025.0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2025.0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2025.0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2025.0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2025.0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2025.0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2025.0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2025.0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2025.0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2025.0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2025.0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2025.0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2025.0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2025.0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2025.0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2025.0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2025.0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2025.0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2025.0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2025.0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2025.0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2025.0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2025.0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2025.0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2025.0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2025.0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2025.0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2025.0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2025.0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2025.0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2025.0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2025.0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2025.0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2025.0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2025.0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2025.0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2025.0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2025.0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2025.0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2025.0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2025.0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2025.0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2025.0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2025.0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2025.0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2025.0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2025.0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2025.0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2025.0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2025.0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2025.0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2025.0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2025.0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2025.0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2025.0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2025.0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2025.0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2025.0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2025.0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2025.0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2025.0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2025.0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2025.0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2025.0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2025.0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2025.0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2025.0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2025.0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2025.0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2025.0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2025.0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2025.0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2025.0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2025.0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2025.0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2025.0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2025.0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2025.0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2025.0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2025.0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2025.0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2025.0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2025.0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2025.0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2025.0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2025.0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2025.0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2025.0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2025.0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2025.0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2025.0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2025.0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2025.0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2025.0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2025.0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2025.0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2025.0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2025.0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2025.0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2025.0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2025.0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2025.0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2025.0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2025.0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2025.0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2025.0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2025.0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2025.0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2025.0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2025.0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2025.0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2025.0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2025.0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2025.0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2025.0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2025.0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2025.0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2025.0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2025.0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2025.0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2025.0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2025.0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2025.0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2025.0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2025.0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2025.0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2025.0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2025.0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2025.0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2025.0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2025.0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2025.0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2025.0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2025.0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2025.0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2025.0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2025.0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2025.0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2025.0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2025.0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2025.0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2025.0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2025.0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2025.0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2025.0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2025.0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2025.0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2025.0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2025.0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2025.0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2025.0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2025.0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2025.0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2025.0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2025.0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2025.0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2025.0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2025.0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2025.0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2025.0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2025.0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2025.0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2025.0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2025.0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2025.0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2025.0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2025.0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2025.0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2025.0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2025.0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2025.0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2025.0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2025.0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2025.0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2025.0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2025.0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2025.0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2025.0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2025.0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2025.0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2025.0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2025.0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2025.0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2025.0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2025.0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2025.0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2025.0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2025.0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2025.0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2025.0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2025.0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2025.0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2025.0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2025.0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2025.0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2025.0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2025.0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2025.0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2025.0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2025.0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2025.0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2025.0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2025.0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2025.0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2025.0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2025.0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2025.0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2025.0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2025.0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2025.0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2025.0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2025.0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2025.0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2025.0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2025.0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2025.0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2025.0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2025.0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2025.0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2025.0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2025.0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2025.0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2025.0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2025.0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2025.0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2025.0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2025.0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2025.0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2025.0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2025.0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2025.0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2025.0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2025.0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2025.0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2025.0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2025.0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2025.0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2025.0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2025.0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2025.0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2025.0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2025.0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2025.0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2025.0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2025.0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2025.0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2025.0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2025.0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2025.0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2025.0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2025.0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2025.0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2025.0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2025.0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2025.0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2025.0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2025.0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2025.0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2025.0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2025.0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2025.0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2025.0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2025.0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2025.0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2025.0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2025.0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2025.0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2025.0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2025.0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2025.0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2025.0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2025.0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2025.0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2025.0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2025.0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2025.0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2025.0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2025.0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2025.0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2025.0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2025.0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2025.0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2025.0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2025.0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2025.0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2025.0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2025.0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2025.0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2025.0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2025.0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2025.0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2025.0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2025.0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2025.0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2025.0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2025.0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2025.0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2025.0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2025.0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2025.0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2025.0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2025.0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2025.0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2025.0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2025.0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2025.0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2025.0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2025.0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2025.0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2025.0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2025.0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2025.0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2025.0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2025.0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2025.0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2025.0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2025.0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2025.0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2025.0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2025.0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2025.0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2025.0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2025.0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2025.0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2025.0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2025.0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2025.0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2025.0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2025.0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2025.0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2025.0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2025.0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2025.0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2025.0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2025.0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2025.0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2025.0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2025.0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2025.0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2025.0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2025.0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2025.0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2025.0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2025.0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2025.0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2025.0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2025.0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2025.0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2025.0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2025.0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2025.0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2025.0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2025.0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2025.0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2025.0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2025.0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2025.0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2025.0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2025.0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2025.0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2025.0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2025.0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2025.0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2025.0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2025.0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2025.0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2025.0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2025.0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2025.0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2025.0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2025.0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2025.0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2025.0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2025.0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2025.0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2025.0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2025.0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2025.0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2025.0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2025.0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2025.0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2025.0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2025.0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2025.0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2025.0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2025.0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2025.0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2025.0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2025.0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2025.0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2025.0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2025.0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2025.0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2025.0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2025.0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2025.0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2025.0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2025.0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2025.0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2025.0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2025.0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2025.0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2025.0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2025.0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2025.0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2025.0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2025.0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2025.0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2025.0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2025.0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2025.0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2025.0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2025.0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2025.0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2025.0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2025.0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2025.0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2025.0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2025.0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2025.0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2025.0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2025.0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2025.0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2025.0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2025.0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2025.0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2025.0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2025.0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2025.0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2025.0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2025.0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2025.0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2025.0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2025.0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2025.0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2025.0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2025.0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2025.0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2025.0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2025.0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2025.0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2025.0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2025.0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2025.0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2025.0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2025.0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2025.0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2025.0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2025.0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2025.0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2025.0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2025.0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2025.0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2025.0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2025.0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2025.0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2025.0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2025.0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2025.0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2025.0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2025.0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2025.0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2025.0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2025.0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2025.0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2025.0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2025.0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2025.0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2025.0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2025.0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2025.0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2025.0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2025.0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2025.0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2025.0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2025.0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2025.0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2025.0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2025.0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2025.0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2025.0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2025.0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2025.0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2025.0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2025.0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2025.0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2025.0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2025.0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2025.0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2025.0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2025.0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2025.0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2025.0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2025.0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2025.0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2025.0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2025.0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2025.0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2025.0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2025.0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2025.0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2025.0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2025.0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2025.0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2025.0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2025.0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2025.0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2025.0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2025.0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2025.0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2025.0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2025.0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2025.0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2025.0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2025.0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2025.0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2025.0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2025.0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2025.0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2025.0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2025.0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2025.0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2025.0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2025.0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2025.0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2025.0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2025.0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2025.0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2025.0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2025.0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2025.0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2025.0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2025.0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2025.0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2025.0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2025.0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2025.0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2025.0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2025.0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2025.0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2025.0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2025.0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2025.0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2025.0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2025.0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2025.0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2025.0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2025.0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2025.0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2025.0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2025.0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2025.0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2025.0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2025.0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2025.0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2025.0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2025.0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2025.0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2025.0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2025.0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2025.0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2025.0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2025.0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2025.0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2025.0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2025.0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2025.0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2025.0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2025.0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2025.0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2025.0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2025.0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2025.0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2025.0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2025.0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2025.0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2025.0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2025.0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2025.0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2025.0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2025.0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2025.0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2025.0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2025.0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2025.0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2025.0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2025.0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2025.0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2025.0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2025.0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2025.0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2025.0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2025.0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2025.0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2025.0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2025.0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2025.0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2025.0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2025.0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2025.0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2025.0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2025.0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2025.0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2025.0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2025.0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2025.0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2025.0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2025.0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2025.0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2025.0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2025.0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2025.0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2025.0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2025.0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2025.0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2025.0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2025.0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2025.0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2025.0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2025.0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2025.0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2025.0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2025.0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2025.0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2025.0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2025.0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2025.0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2025.0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2025.0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2025.0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2025.0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2025.0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2025.0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2025.0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2025.0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2025.0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2025.0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2025.0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2025.0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2025.0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2025.0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2025.0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2025.0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2025.0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2025.0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2025.0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2025.0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2025.0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2025.0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2025.0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2025.0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2025.0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2025.0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2025.0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2025.0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2025.0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2025.0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2025.0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2025.0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2025.0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2025.0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2025.0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2025.0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2025.0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2025.0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2025.0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2025.0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2025.0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2025.0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2025.0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2025.0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2025.0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2025.0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2025.0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2025.0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2025.0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2025.0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2025.0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2025.0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2025.0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2025.0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2025.0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2025.0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2025.0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2025.0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2025.0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2025.0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2025.0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2025.0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2025.0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2025.0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2025.0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2025.0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2025.0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2025.0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2025.0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2025.0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2025.0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2025.0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2025.0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2025.0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2025.0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2025.0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2025.0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2025.0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2025.0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2025.0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2025.0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2025.0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2025.0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2025.0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2025.0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2025.0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2025.0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2025.0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2025.0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2025.0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2025.0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2025.0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2025.0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2025.0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2025.0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2025.0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2025.0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2025.0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2025.0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2025.0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2025.0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2025.0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2025.0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2025.0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2025.0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2025.0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2025.0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2025.0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2025.0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2025.0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2025.0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2025.0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2025.0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2025.0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2025.0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2025.0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2025.0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2025.0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2025.0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2025.0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2025.0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2025.0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2025.0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2025.0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2025.0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2025.0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2025.0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2025.0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2025.0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2025.0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2025.0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2025.0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2025.0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2025.0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2025.0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2025.0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2025.0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2025.0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2025.0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2025.0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2025.0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2025.0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2025.0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2025.0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2025.0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2025.0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2025.0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2025.0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2025.0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2025.0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2025.0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2025.0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2025.0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2025.0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2025.0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2025.0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2025.0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2025.0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2025.0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2025.0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2025.0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2025.0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2025.0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2025.0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2025.0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2025.0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2025.0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2025.0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2025.0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2025.0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2025.0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2025.0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2025.0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2025.0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2025.0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2025.0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2025.0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2025.0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2025.0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2025.0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2025.0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2025.0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2025.0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2025.0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2025.0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2025.0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2025.0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2025.0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2025.0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2025.0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2025.0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2025.0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2025.0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2025.0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2025.0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2025.0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2025.0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2025.0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2025.0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2025.0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2025.0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2025.0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2025.0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2025.0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2025.0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2025.0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2025.0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2025.0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2025.0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2025.0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2025.0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2025.0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2025.0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2025.0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2025.0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2025.0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2025.0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2025.0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2025.0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2025.0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2025.0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2025.0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2025.0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2025.0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2025.0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2025.0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2025.0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2025.0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2025.0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2025.0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2025.0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2025.0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2025.0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2025.0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2025.0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2025.0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2025.0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2025.0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2025.0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2025.0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2025.0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2025.0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2025.0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2025.0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2025.0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2025.0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2025.0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2025.0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2025.0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2025.0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2025.0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2025.0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2025.0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2025.0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2025.0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2025.0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2025.0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2025.0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2025.0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2025.0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2025.0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2025.0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2025.0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2025.0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2025.0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2025.0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2025.0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2025.0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2025.0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2025.0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2025.0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2025.0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2025.0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2025.0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2025.0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2025.0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2025.0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2025.0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2025.0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2025.0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2025.0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2025.0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2025.0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2025.0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2025.0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2025.0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2025.0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2025.0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2025.0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2025.0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2025.0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2025.0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2025.0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2025.0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2025.0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2025.0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2025.0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2025.0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2025.0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2025.0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2025.0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2025.0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2025.0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2025.0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2025.0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2025.0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2025.0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2025.0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2025.0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2025.0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2025.0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2025.0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2025.0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2025.0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2025.0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2025.0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2025.0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2025.0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2025.0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2025.0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2025.0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2025.0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2025.0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2025.0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2025.0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2025.0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2025.0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2025.0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2025.0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2025.0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2025.0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2025.0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2025.0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2025.0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2025.0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2025.0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2025.0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2025.0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2025.0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2025.0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2025.0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2025.0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2025.0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2025.0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2025.0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2025.0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2025.0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2025.0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2025.0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2025.0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2025.0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2025.0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2025.0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2025.0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2025.0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2025.0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2025.0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2025.0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2025.0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2025.0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2025.0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2025.0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2025.0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2025.0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2025.0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2025.0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2025.0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2025.0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2025.0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2025.0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2025.0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2025.0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2025.0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2025.0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2025.0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2025.0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2025.0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2025.0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2025.0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2025.0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2025.0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2025.0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2025.0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2025.0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2025.0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2025.0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2025.0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2025.0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2025.0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2025.0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2025.0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2025.0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2025.0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2025.0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2025.0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2025.0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2025.0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2025.0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2025.0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2025.0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2025.0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2025.0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2025.0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2025.0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2025.0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2025.0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2025.0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2025.0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2025.0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2025.0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2025.0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2025.0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2025.0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2025.0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2025.0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2025.0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2025.0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2025.0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2025.0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2025.0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2025.0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2025.0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2025.0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2025.0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2025.0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2025.0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2025.0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2025.0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2025.0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2025.0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2025.0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2025.0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2025.0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2025.0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2025.0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2025.0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2025.0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2025.0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2025.0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2025.0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2025.0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2025.0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2025.0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2025.0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2025.0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2025.0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2025.0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2025.0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2025.0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2025.0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2025.0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2025.0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2025.0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2025.0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2025.0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2025.0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2025.0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2025.0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2025.0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2025.0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2025.0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2025.0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2025.0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2025.0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2025.0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2025.0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2025.0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2025.0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2025.0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2025.0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2025.0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2025.0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2025.0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2025.0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2025.0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2025.0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2025.0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2025.0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2025.0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2025.0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2025.0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2025.0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2025.0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2025.0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2025.0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2025.0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2025.0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2025.0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2025.0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2025.0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2025.0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2025.0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2025.0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2025.0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2025.0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2025.0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2025.0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2025.0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2025.0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2025.0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2025.0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2025.0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2025.0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2025.0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2025.0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2025.0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2025.0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2025.0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2025.0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2025.0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2025.0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2025.0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2025.0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2025.0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2025.0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2025.0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2025.0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2025.0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2025.0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2025.0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2025.0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2025.0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2025.0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2025.0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2025.0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2025.0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2025.0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2025.0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2025.0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2025.0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2025.0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2025.0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2025.0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2025.0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2025.0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2025.0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2025.0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2025.0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2025.0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2025.0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2025.0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2025.0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2025.0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2025.0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2025.0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2025.0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2025.0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2025.0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2025.0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2025.0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2025.0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2025.0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2025.0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2025.0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2025.0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2025.0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2025.0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2025.0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2025.0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2025.0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2025.0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2025.0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2025.0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2025.0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2025.0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2025.0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2025.0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2025.0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2025.0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2025.0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2025.0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2025.0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2025.0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2025.0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2025.0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2025.0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2025.0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2025.0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2025.0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2025.0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2025.0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2025.0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2025.0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2025.0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2025.0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2025.0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2025.0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2025.0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2025.0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2025.0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2025.0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2025.0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2025.0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2025.0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2025.0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2025.0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2025.0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2025.0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2025.0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2025.0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2025.0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2025.0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2025.0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2025.0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2025.0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2025.0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2025.0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2025.0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2025.0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2025.0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2025.0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2025.0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2025.0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2025.0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2025.0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2025.0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2025.0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2025.0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2025.0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2025.0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2025.0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2025.0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2025.0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2025.0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2025.0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2025.0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2025.0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2025.0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2025.0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2025.0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2025.0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2025.0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2025.0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2025.0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2025.0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2025.0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2025.0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2025.0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2025.0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2025.0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2025.0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2025.0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2025.0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2025.0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2025.0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2025.0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2025.0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2025.0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2025.0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2025.0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2025.0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2025.0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2025.0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2025.0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2025.0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2025.0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2025.0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2025.0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2025.0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2025.0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2025.0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2025.0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2025.0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2025.0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2025.0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2025.0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2025.0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2025.0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2025.0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2025.0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2025.0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2025.0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2025.0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2025.0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2025.0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2025.0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2025.0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2025.0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2025.0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2025.0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2025.0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2025.0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2025.0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2025.0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2025.0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2025.0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2025.0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2025.0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2025.0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2025.0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2025.0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2025.0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2025.0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2025.0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2025.0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2025.0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2025.0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2025.0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2025.0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2025.0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2025.0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2025.0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2025.0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2025.0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2025.0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2025.0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2025.0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2025.0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2025.0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2025.0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2025.0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2025.0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2025.0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2025.0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2025.0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2025.0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2025.0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2025.0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2025.0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2025.0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2025.0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2025.0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2025.0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2025.0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2025.0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2025.0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2025.0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2025.0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2025.0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2025.0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2025.0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2025.0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2025.0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2025.0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2025.0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2025.0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2025.0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2025.0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2025.0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2025.0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2025.0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2025.0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2025.0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2025.0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2025.0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2025.0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2025.0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2025.0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2025.0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2025.0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2025.0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2025.0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2025.0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2025.0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2025.0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2025.0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2025.0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2025.0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2025.0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2025.0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2025.0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2025.0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2025.0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2025.0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2025.0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2025.0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2025.0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2025.0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2025.0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2025.0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2025.0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2025.0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2025.0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2025.0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2025.0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2025.0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2025.0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2025.0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2025.0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2025.0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2025.0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2025.0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2025.0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2025.0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2025.0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2025.0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2025.0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2025.0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2025.0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2025.0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2025.0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2025.0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2025.0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2025.0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2025.0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2025.0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2025.0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2025.0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2025.0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2025.0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2025.0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2025.0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2025.0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2025.0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2025.0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2025.0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2025.0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2025.0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2025.0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2025.0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2025.0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2025.0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2025.0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2025.0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2025.0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2025.0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2025.0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2025.0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2025.0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2025.0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2025.0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2025.0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2025.0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2025.0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2025.0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2025.0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2025.0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2025.0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2025.0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2025.0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2025.0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2025.0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2025.0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2025.0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2025.0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2025.0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2025.0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2025.0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2025.0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2025.0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2025.0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2025.0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2025.0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2025.0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2025.0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2025.0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2025.0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2025.0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2025.0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2025.0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2025.0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2025.0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2025.0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2025.0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2025.0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2025.0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2025.0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2025.0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2025.0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2025.0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2025.0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2025.0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2025.0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2025.0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2025.0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2025.0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2025.0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2025.0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2025.0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2025.0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2025.0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2025.0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2025.0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2025.0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2025.0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2025.0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2025.0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2025.0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2025.0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2025.0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2025.0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2025.0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2025.0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2025.0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2025.0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2025.0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2025.0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2025.0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2025.0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2025.0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2025.0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2025.0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2025.0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2025.0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2025.0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2025.0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2025.0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2025.0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2025.0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2025.0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2025.0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2025.0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2025.0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2025.0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2025.0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2025.0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2025.0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2025.0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2025.0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2025.0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2025.0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2025.0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2025.0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2025.0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2025.0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2025.0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2025.0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2025.0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2025.0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2025.0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2025.0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2025.0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2025.0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2025.0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2025.0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2025.0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2025.0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2025.0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2025.0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2025.0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2025.0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2025.0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2025.0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2025.0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2025.0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2025.0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2025.0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2025.0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2025.0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2025.0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2025.0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2025.0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2025.0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2025.0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2025.0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2025.0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2025.0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2025.0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2025.0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2025.0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2025.0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2025.0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2025.0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2025.0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2025.0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2025.0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2025.0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2025.0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2025.0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2025.0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2025.0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2025.0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2025.0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2025.0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2025.0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2025.0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2025.0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2025.0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2025.0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2025.0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2025.0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2025.0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2025.0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2025.0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2025.0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2025.0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2025.0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2025.0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2025.0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2025.0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2025.0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2025.0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2025.0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2025.0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2025.0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2025.0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2025.0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2025.0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2025.0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2025.0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2025.0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2025.0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2025.0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2025.0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2025.0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2025.0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2025.0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2025.0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2025.0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2025.0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2025.0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2025.0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2025.0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2025.0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2025.0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2025.0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2025.0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2025.0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2025.0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2025.0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2025.0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2025.0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2025.0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2025.0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2025.0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2025.0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2025.0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2025.0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2025.0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2025.0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2025.0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2025.0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2025.0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2025.0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2025.0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2025.0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2025.0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2025.0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2025.0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2025.0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2025.0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2025.0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2025.0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2025.0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2025.0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2025.0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2025.0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2025.0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2025.0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2025.0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2025.0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2025.0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2025.0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2025.0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2025.0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2025.0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2025.0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2025.0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2025.0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2025.0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2025.0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2025.0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2025.0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2025.0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2025.0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2025.0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2025.0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2025.0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2025.0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2025.0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2025.0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2025.0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2025.0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2025.0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2025.0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2025.0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2025.0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2025.0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2025.0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2025.0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2025.0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2025.0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2025.0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2025.0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2025.0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2025.0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2025.0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2025.0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2025.0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2025.0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2025.0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2025.0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2025.0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2025.0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2025.0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2025.0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2025.0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2025.0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2025.0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2025.0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2025.0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2025.0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2025.0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2025.0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2025.0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2025.0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2025.0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2025.0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2025.0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2025.0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2025.0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2025.0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2025.0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2025.0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2025.0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2025.0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2025.0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2025.0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2025.0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2025.0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2025.0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2025.0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2025.0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2025.0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2025.0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2025.0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2025.0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2025.0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2025.0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2025.0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2025.0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2025.0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2025.0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2025.0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2025.0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2025.0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2025.0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2025.0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2025.0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2025.0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2025.0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2025.0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2025.0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2025.0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2025.0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2025.0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2025.0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2025.0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2025.0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2025.0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2025.0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2025.0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2025.0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2025.0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2025.0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2025.0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2025.0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2025.0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2025.0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2025.0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2025.0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2025.0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2025.0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2025.0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2025.0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2025.0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2025.0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2025.0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2025.0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2025.0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2025.0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2025.0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2025.0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2025.0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2025.0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2025.0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2025.0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2025.0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2025.0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2025.0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2025.0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2025.0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2025.0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2025.0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2025.0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2025.0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2025.0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2025.0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2025.0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2025.0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2025.0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2025.0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2025.0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2025.0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2025.0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2025.0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2025.0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2025.0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2025.0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2025.0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2025.0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2025.0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2025.0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2025.0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2025.0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2025.0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2025.0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2025.0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2025.0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2025.0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2025.0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2025.0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2025.0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2025.0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2025.0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2025.0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2025.0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2025.0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2025.0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2025.0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2025.0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2025.0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2025.0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2025.0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2025.0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2025.0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2025.0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2025.0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2025.0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2025.0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2025.0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2025.0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2025.0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2025.0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2025.0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2025.0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2025.0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2025.0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2025.0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2025.0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2025.0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2025.0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2025.0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2025.0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2025.0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2025.0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2025.0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2025.0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2025.0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2025.0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2025.0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2025.0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2025.0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2025.0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2025.0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2025.0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2025.0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2025.0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2025.0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2025.0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2025.0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2025.0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2025.0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2025.0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2025.0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2025.0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2025.0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2025.0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2025.0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2025.0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2025.0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2025.0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2025.0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2025.0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2025.0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2025.0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2025.0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2025.0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2025.0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2025.0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2025.0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2025.0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2025.0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2025.0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2025.0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2025.0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2025.0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2025.0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2025.0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2025.0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2025.0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2025.0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2025.0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2025.0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2025.0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2025.0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2025.0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2025.0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2025.0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2025.0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2025.0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2025.0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2025.0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2025.0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2025.0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2025.0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2025.0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2025.0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2025.0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2025.0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2025.0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2025.0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2025.0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2025.0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2025.0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2025.0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2025.0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2025.0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2025.0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2025.0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2025.0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2025.0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2025.0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2025.0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2025.0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2025.0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2025.0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2025.0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2025.0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2025.0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2025.0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2025.0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2025.0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2025.0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2025.0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2025.0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2025.0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2025.0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2025.0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2025.0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2025.0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2025.0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2025.0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2025.0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2025.0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2025.0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2025.0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2025.0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2025.0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2025.0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2025.0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2025.0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2025.0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2025.0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2025.0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2025.0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2025.0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2025.0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2025.0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2025.0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2025.0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2025.0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2025.0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2025.0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2025.0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2025.0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2025.0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2025.0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2025.0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2025.0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2025.0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2025.0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2025.0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2025.0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2025.0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2025.0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2025.0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2025.0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2025.0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2025.0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2025.0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2025.0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2025.0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2025.0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2025.0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2025.0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2025.0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2025.0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2025.0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2025.0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2025.0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2025.0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2025.0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2025.0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2025.0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2025.0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2025.0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2025.0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2025.0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2025.0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2025.0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2025.0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2025.0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2025.0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2025.0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2025.0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2025.0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2025.0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2025.0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2025.0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2025.0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2025.0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2025.0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2025.0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2025.0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2025.0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2025.0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2025.0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2025.0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2025.0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2025.0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2025.0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2025.0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2025.0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2025.0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2025.0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2025.0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2025.0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2025.0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2025.0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2025.0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2025.0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2025.0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2025.0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2025.0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2025.0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2025.0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2025.0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2025.0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2025.0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2025.0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2025.0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2025.0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2025.0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2025.0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2025.0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2025.0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2025.0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2025.0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2025.0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2025.0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2025.0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2025.0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2025.0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2025.0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2025.0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2025.0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2025.0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2025.0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2025.0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2025.0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2025.0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2025.0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2025.0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2025.0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2025.0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2025.0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2025.0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2025.0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2025.0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2025.0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2025.0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2025.0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2025.0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2025.0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2025.0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2025.0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2025.0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2025.0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2025.0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2025.0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2025.0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2025.0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2025.0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2025.0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2025.0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2025.0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2025.0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2025.0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2025.0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2025.0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2025.0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2025.0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2025.0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2025.0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2025.0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2025.0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2025.0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2025.0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2025.0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2025.0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2025.0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2025.0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2025.0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2025.0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2025.0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2025.0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2025.0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2025.0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2025.0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2025.0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2025.0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2025.0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2025.0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2025.0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2025.0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2025.0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2025.0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2025.0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2025.0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2025.0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2025.0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2025.0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2025.0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2025.0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2025.0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2025.0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2025.0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2025.0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2025.0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2025.0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2025.0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2025.0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2025.0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2025.0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2025.0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2025.0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2025.0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2025.0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2025.0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2025.0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2025.0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2025.0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2025.0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2025.0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2025.0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2025.0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2025.0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2025.0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2025.0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2025.0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2025.0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2025.0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2025.0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2025.0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2025.0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2025.0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2025.0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2025.0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2025.0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2025.0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2025.0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2025.0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2025.0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2025.0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2025.0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2025.0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2025.0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2025.0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2025.0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2025.0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2025.0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2025.0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2025.0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2025.0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2025.0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2025.0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2025.0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2025.0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2025.0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2025.0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2025.0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2025.0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2025.0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2025.0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2025.0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2025.0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2025.0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2025.0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2025.0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2025.0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2025.0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2025.0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2025.0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2025.0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2025.0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2025.0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2025.0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2025.0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2025.0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2025.0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2025.0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2025.0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2025.0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2025.0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2025.0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2025.0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2025.0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2025.0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2025.0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2025.0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2025.0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2025.0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2025.0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2025.0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2025.0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2025.0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2025.0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2025.0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2025.0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2025.0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2025.0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2025.0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2025.0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2025.0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2025.0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2025.0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2025.0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2025.0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2025.0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2025.0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2025.0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2025.0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2025.0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2025.0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2025.0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2025.0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2025.0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2025.0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2025.0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2025.0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2025.0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2025.0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2025.0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2025.0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2025.0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2025.0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2025.0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2025.0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2025.0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2025.0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2025.0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2025.0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2025.0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2025.0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2025.0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2025.0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2025.0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2025.0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2025.0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2025.0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2025.0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2025.0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2025.0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2025.0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2025.0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2025.0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2025.0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2025.0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2025.0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2025.0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2025.0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2025.0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2025.0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2025.0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2025.0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2025.0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2025.0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2025.0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2025.0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2025.0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2025.0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2025.0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2025.0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2025.0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2025.0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2025.0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2025.0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2025.0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2025.0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2025.0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2025.0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2025.0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2025.0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2025.0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2025.0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2025.0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2025.0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2025.0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2025.0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2025.0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2025.0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2025.0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2025.0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2025.0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2025.0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2025.0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2025.0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2025.0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2025.0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2025.0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2025.0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2025.0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2025.0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2025.0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2025.0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2025.0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2025.0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2025.0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2025.0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2025.0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2025.0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2025.0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2025.0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2025.0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2025.0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2025.0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2025.0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2025.0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2025.0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2025.0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2025.0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2025.0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2025.0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2025.0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2025.0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2025.0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2025.0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2025.0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2025.0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2025.0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2025.0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2025.0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2025.0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2025.0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2025.0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2025.0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2025.0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2025.0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2025.0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2025.0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2025.0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2025.0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2025.0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2025.0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2025.0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2025.0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2025.0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2025.0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2025.0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2025.0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2025.0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2025.0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2025.0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2025.0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2025.0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2025.0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2025.0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2025.0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2025.0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2025.0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2025.0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2025.0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2025.0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2025.0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2025.0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2025.0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2025.0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2025.0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2025.0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2025.0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2025.0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2025.0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2025.0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2025.0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2025.0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2025.0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2025.0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2025.0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2025.0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2025.0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2025.0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2025.0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2025.0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2025.0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2025.0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2025.0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2025.0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2025.0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2025.0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2025.0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2025.0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2025.0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2025.0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2025.0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2025.0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2025.0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2025.0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2025.0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2025.0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2025.0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2025.0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2025.0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2025.0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2025.0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2025.0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2025.0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2025.0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2025.0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2025.0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2025.0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2025.0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2025.0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2025.0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2025.0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2025.0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2025.0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2025.0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2025.0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2025.0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2025.0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2025.0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2025.0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2025.0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2025.0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2025.0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2025.0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2025.0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2025.0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2025.0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2025.0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2025.0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2025.0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2025.0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2025.0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2025.0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2025.0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2025.0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2025.0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2025.0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2025.0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2025.0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2025.0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2025.0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2025.0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2025.0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2025.0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2025.0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2025.0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2025.0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2025.0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2025.0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2025.0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2025.0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2025.0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2025.0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2025.0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2025.0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2025.0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2025.0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2025.0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2025.0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2025.0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2025.0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2025.0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2025.0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2025.0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2025.0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2025.0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2025.0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2025.0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2025.0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2025.0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2025.0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2025.0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2025.0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2025.0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2025.0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2025.0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2025.0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2025.0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2025.0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2025.0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2025.0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2025.0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2025.0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2025.0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2025.0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2025.0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2025.0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2025.0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2025.0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2025.0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2025.0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2025.0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2025.0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2025.0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2025.0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2025.0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2025.0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2025.0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2025.0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2025.0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2025.0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2025.0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2025.0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2025.0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2025.0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2025.0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2025.0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2025.0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2025.0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2025.0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2025.0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2025.0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2025.0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2025.0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2025.0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2025.0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2025.0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2025.0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2025.0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2025.0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2025.0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2025.0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2025.0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2025.0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2025.0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2025.0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2025.0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2025.0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2025.0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2025.0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2025.0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2025.0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2025.0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2025.0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2025.0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2025.0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2025.0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2025.0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2025.0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2025.0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2025.0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2025.0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2025.0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2025.0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2025.0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2025.0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2025.0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2025.0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2025.0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2025.0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2025.0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2025.0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2025.0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2025.0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2025.0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2025.0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2025.0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2025.0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2025.0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2025.0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2025.0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2025.0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2025.0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2025.0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2025.0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2025.0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2025.0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2025.0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2025.0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2025.0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2025.0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2025.0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2025.0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2025.0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2025.0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2025.0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2025.0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2025.0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2025.0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2025.0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2025.0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2025.0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2025.0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2025.0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2025.0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2025.0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2025.0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2025.0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2025.0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2025.0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2025.0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2025.0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2025.0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2025.0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2025.0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2025.0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2025.0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2025.0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2025.0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2025.0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2025.0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2025.0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2025.0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2025.0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2025.0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2025.0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2025.0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2025.0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2025.0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2025.0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2025.0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2025.0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2025.0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2025.0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2025.0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2025.0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2025.0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2025.0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2025.0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2025.0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2025.0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2025.0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2025.0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2025.0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2025.0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2025.0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2025.0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2025.0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2025.0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2025.0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2025.0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2025.0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2025.0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2025.0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2025.0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2025.0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2025.0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2025.0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2025.0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2025.0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2025.0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2025.0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2025.0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2025.0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2025.0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2025.0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2025.0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2025.0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2025.0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2025.0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2025.0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2025.0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2025.0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2025.0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2025.0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2025.0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2025.0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2025.0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2025.0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2025.0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2025.0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2025.0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2025.0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2025.0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2025.0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2025.0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2025.0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2025.0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2025.0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2025.0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2025.0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2025.0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2025.0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2025.0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2025.0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2025.0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2025.0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2025.0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2025.0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2025.0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2025.0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2025.0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2025.0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2025.0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2025.0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2025.0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2025.0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2025.0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2025.0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2025.0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2025.0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2025.0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2025.0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2025.0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2025.0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2025.0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2025.0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2025.0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2025.0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2025.0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2025.0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2025.0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2025.0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2025.0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2025.0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2025.0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2025.0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2025.0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2025.0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2025.0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2025.0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2025.0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2025.0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2025.0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2025.0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2025.0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2025.0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2025.0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2025.0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2025.0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2025.0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2025.0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2025.0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2025.0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2025.0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2025.0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2025.0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2025.0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2025.0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2025.0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2025.0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2025.0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2025.0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2025.0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2025.0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2025.0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2025.0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2025.0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2025.0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2025.0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2025.0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2025.0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2025.0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2025.0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2025.0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2025.0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2025.0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2025.0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2025.0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2025.0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2025.0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2025.0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2025.0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2025.0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2025.0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2025.0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2025.0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2025.0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2025.0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2025.0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2025.0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2025.0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2025.0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2025.0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2025.0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2025.0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2025.0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2025.0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2025.0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2025.0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2025.0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2025.0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2025.0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2025.0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2025.0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2025.0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2025.0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2025.0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2025.0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2025.0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2025.0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2025.0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2025.0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2025.0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2025.0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2025.0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2025.0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2025.0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2025.0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2025.0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2025.0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2025.0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2025.0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2025.0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2025.0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2025.0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2025.0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2025.0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2025.0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2025.0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2025.0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2025.0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2025.0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2025.0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2025.0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2025.0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2025.0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2025.0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2025.0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2025.0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2025.0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2025.0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2025.0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2025.0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2025.0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2025.0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2025.0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2025.0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2025.0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2025.0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2025.0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2025.0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2025.0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2025.0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2025.0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2025.0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2025.0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2025.0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2025.0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2025.0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2025.0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2025.0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2025.0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2025.0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2025.0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2025.0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2025.0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2025.0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2025.0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2025.0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2025.0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2025.0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2025.0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2025.0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2025.0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2025.0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2025.0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2025.0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2025.0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2025.0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2025.0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2025.0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2025.0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2025.0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2025.0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2025.0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2025.0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2025.0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2025.0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2025.0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2025.0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2025.0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2025.0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2025.0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2025.0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2025.0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2025.0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2025.0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2025.0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2025.0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2025.0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2025.0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2025.0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2025.0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2025.0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2025.0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2025.0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2025.0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2025.0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2025.0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2025.0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2025.0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2025.0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2025.0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2025.0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2025.0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2025.0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2025.0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2025.0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2025.0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2025.0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2025.0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2025.0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2025.0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2025.0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2025.0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2025.0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2025.0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2025.0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2025.0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2025.0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2025.0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2025.0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2025.0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2025.0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2025.0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2025.0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2025.0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2025.0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2025.0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2025.0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2025.0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2025.0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2025.0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2025.0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2025.0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2025.0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2025.0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2025.0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2025.0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2025.0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2025.0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2025.0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2025.0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2025.0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2025.0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2025.0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2025.0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2025.0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2025.0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2025.0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2025.0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2025.0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2025.0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2025.0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2025.0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2025.0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2025.0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2025.0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2025.0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2025.0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2025.0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2025.0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2025.0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2025.0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2025.0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2025.0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2025.0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2025.0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2025.0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2025.0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2025.0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2025.0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2025.0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2025.0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2025.0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2025.0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2025.0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2025.0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2025.0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2025.0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2025.0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2025.0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2025.0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2025.0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2025.0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2025.0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2025.0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2025.0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2025.0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2025.0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2025.0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2025.0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2025.0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2025.0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2025.0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2025.0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2025.0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2025.0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2025.0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2025.0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2025.0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2025.0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2025.0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2025.0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2025.0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2025.0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2025.0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2025.0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2025.0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2025.0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2025.0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2025.0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2025.0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2025.0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2025.0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2025.0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2025.0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2025.0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2025.0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2025.0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2025.0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2025.0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2025.0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2025.0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2025.0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2025.0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2025.0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2025.0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2025.0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2025.0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2025.0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2025.0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2025.0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2025.0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2025.0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2025.0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2025.0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2025.0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2025.0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2025.0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2025.0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2025.0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2025.0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2025.0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2025.0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2025.0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2025.0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2025.0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2025.0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2025.0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2025.0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2025.0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2025.0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2025.0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2025.0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2025.0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2025.0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2025.0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2025.0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2025.0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2025.0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2025.0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2025.0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2025.0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2025.0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2025.0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2025.0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2025.0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2025.0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2025.0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2025.0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2025.0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2025.0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2025.0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2025.0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2025.0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2025.0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2025.0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2025.0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2025.0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2025.0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2025.0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2025.0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2025.0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2025.0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2025.0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2025.0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2025.0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2025.0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2025.0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2025.0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2025.0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2025.0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2025.0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2025.0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2025.0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2025.0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2025.0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2025.0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2025.0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2025.0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2025.0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2025.0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2025.0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2025.0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2025.0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2025.0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2025.0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2025.0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2025.0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2025.0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2025.0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2025.0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2025.0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2025.0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2025.0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2025.0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2025.0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2025.0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2025.0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2025.0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2025.0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2025.0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2025.0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2025.0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2025.0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2025.0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2025.0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2025.0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2025.0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2025.0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2025.0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2025.0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2025.0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2025.0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2025.0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2025.0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2025.0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2025.0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2025.0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2025.0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2025.0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2025.0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2025.0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2025.0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2025.0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2025.0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2025.0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2025.0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2025.0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2025.0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2025.0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2025.0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2025.0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2025.0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2025.0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2025.0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2025.0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2025.0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2025.0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2025.0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2025.0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2025.0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2025.0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2025.0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2025.0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2025.0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2025.0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2025.0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2025.0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2025.0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2025.0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2025.0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2025.0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2025.0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2025.0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2025.0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2025.0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2025.0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2025.0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2025.0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2025.0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2025.0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2025.0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2025.0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2025.0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2025.0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2025.0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2025.0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2025.0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2025.0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2025.0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2025.0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2025.0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2025.0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2025.0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2025.0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2025.0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2025.0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2025.0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2025.0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2025.0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2025.0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2025.0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2025.0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2025.0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2025.0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2025.0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2025.0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2025.0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2025.0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2025.0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2025.0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2025.0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2025.0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2025.0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2025.0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2025.0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2025.0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2025.0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2025.0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2025.0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2025.0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2025.0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2025.0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2025.0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2025.0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2025.0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2025.0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2025.0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2025.0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2025.0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2025.0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2025.0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2025.0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2025.0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2025.0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2025.0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2025.0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2025.0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2025.0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2025.0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2025.0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2025.0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2025.0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2025.0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2025.0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2025.0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2025.0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2025.0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2025.0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2025.0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2025.0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2025.0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2025.0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2025.0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2025.0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2025.0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2025.0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2025.0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2025.0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2025.0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2025.0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2025.0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2025.0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2025.0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2025.0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2025.0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2025.0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2025.0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2025.0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2025.0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2025.0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2025.0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2025.0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2025.0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2025.0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2025.0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2025.0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2025.0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2025.0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2025.0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2025.0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2025.0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2025.0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2025.0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2025.0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2025.0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2025.0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2025.0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2025.0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2025.0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2025.0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2025.0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2025.0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2025.0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2025.0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2025.0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2025.0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2025.0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2025.0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2025.0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2025.0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2025.0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2025.0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2025.0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2025.0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2025.0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2025.0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2025.0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2025.0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2025.0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2025.0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2025.0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2025.0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2025.0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2025.0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2025.0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2025.0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2025.0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2025.0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2025.0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2025.0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2025.0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2025.0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2025.0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2025.0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2025.0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2025.0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2025.0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2025.0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2025.0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2025.0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2025.0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2025.0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2025.0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2025.0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2025.0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2025.0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2025.0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2025.0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2025.0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2025.0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2025.0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2025.0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2025.0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2025.0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2025.0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2025.0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2025.0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2025.0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2025.0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2025.0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2025.0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2025.0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2025.0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2025.0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2025.0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2025.0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2025.0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2025.0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2025.0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2025.0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2025.0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2025.0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2025.0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2025.0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2025.0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2025.0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2025.0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2025.0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2025.0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2025.0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2025.0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2025.0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2025.0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2025.0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2025.0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2025.0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2025.0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2025.0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2025.0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2025.0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2025.0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2025.0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2025.0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2025.0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2025.0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2025.0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2025.0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2025.0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2025.0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2025.0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2025.0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2025.0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2025.0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2025.0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2025.0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2025.0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2025.0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2025.0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2025.0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2025.0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2025.0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2025.0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2025.0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2025.0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2025.0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2025.0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2025.0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2025.0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2025.0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2025.0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2025.0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2025.0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2025.0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2025.0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2025.0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2025.0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2025.0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2025.0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2025.0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2025.0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2025.0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2025.0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2025.0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2025.0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2025.0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2025.0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2025.0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2025.0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2025.0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2025.0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2025.0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2025.0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2025.0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2025.0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2025.0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2025.0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2025.0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2025.0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2025.0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2025.0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2025.0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2025.0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2025.0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2025.0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2025.0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2025.0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2025.0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2025.0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2025.0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2025.0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2025.0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2025.0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2025.0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2025.0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2025.0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2025.0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2025.0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2025.0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2025.0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2025.0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2025.0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2025.0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2025.0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2025.0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2025.0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2025.0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2025.0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2025.0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2025.0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2025.0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2025.0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2025.0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2025.0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2025.0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2025.0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2025.0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2025.0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2025.0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2025.0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2025.0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2025.0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2025.0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2025.0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2025.0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2025.0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2025.0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2025.0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2025.0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2025.0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2025.0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2025.0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2025.0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2025.0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2025.0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2025.0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2025.0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2025.0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2025.0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2025.0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2025.0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2025.0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2025.0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2025.0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2025.0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2025.0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2025.0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2025.0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2025.0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2025.0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2025.0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2025.0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2025.0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2025.0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2025.0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2025.0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2025.0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2025.0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2025.0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2025.0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2025.0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2025.0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2025.0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2025.0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2025.0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2025.0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2025.0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2025.0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2025.0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2025.0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2025.0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2025.0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2025.0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2025.0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2025.0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2025.0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2025.0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2025.0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2025.0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2025.0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2025.0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2025.0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2025.0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2025.0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2025.0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2025.0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2025.0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2025.0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2025.0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2025.0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2025.0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2025.0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2025.0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2025.0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2025.0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2025.0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2025.0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2025.0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2025.0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2025.0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2025.0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2025.0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2025.0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2025.0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2025.0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2025.0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2025.0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2025.0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2025.0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2025.0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2025.0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2025.0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2025.0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2025.0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2025.0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2025.0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2025.0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2025.0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2025.0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2025.0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2025.0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2025.0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2025.0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2025.0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2025.0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2025.0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2025.0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2025.0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2025.0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2025.0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2025.0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2025.0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2025.0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2025.0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2025.0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2025.0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2025.0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2025.0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2025.0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2025.0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2025.0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2025.0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2025.0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2025.0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2025.0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2025.0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2025.0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2025.0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2025.0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2025.0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2025.0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2025.0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2025.0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2025.0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2025.0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2025.0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2025.0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2025.0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2025.0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2025.0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2025.0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2025.0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2025.0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2025.0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2025.0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2025.0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2025.0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2025.0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2025.0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2025.0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2025.0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2025.0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2025.0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2025.0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2025.0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2025.0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2025.0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2025.0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2025.0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2025.0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2025.0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2025.0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2025.0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2025.0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2025.0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2025.0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2025.0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2025.0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2025.0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2025.0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2025.0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2025.0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2025.0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2025.0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2025.0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2025.0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2025.0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2025.0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2025.0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2025.0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2025.0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2025.0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2025.0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2025.0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2025.0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2025.0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2025.0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2025.0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2025.0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2025.0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2025.0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2025.0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2025.0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2025.0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2025.0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2025.0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2025.0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2025.0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2025.0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2025.0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2025.0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2025.0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2025.0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2025.0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2025.0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2025.0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2025.0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2025.0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2025.0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2025.0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2025.0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2025.0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2025.0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2025.0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2025.0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2025.0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2025.0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2025.0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2025.0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2025.0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2025.0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2025.0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2025.0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2025.0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2025.0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2025.0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2025.0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2025.0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2025.0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2025.0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2025.0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2025.0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2025.0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2025.0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2025.0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2025.0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2025.0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2025.0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2025.0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2025.0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2025.0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2025.0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2025.0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2025.0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2025.0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2025.0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2025.0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2025.0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2025.0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2025.0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2025.0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2025.0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2025.0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2025.0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2025.0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2025.0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2025.0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2025.0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2025.0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2025.0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2025.0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2025.0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2025.0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2025.0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2025.0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2025.0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2025.0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2025.0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2025.0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2025.0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2025.0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2025.0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2025.0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2025.0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2025.0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2025.0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2025.0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2025.0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2025.0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2025.0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2025.0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2025.0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2025.0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2025.0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2025.0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2025.0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2025.0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2025.0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2025.0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2025.0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2025.0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2025.0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2025.0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2025.0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2025.0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2025.0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2025.0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2025.0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2025.0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2025.0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2025.0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2025.0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2025.0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2025.0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2025.0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2025.0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2025.0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2025.0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2025.0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2025.0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2025.0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2025.0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2025.0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2025.0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2025.0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2025.0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2025.0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2025.0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2025.0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2025.0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2025.0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2025.0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2025.0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2025.0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2025.0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2025.0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2025.0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2025.0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2025.0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2025.0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2025.0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2025.0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2025.0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2025.0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2025.0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2025.0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2025.0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2025.0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2025.0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2025.0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2025.0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2025.0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2025.0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2025.0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2025.0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2025.0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2025.0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2025.0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2025.0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2025.0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2025.0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2025.0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2025.0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2025.0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2025.0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2025.0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2025.0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2025.0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2025.0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2025.0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2025.0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2025.0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2025.0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2025.0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2025.0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2025.0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2025.0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2025.0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2025.0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2025.0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2025.0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2025.0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2025.0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2025.0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2025.0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2025.0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2025.0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2025.0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2025.0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2025.0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2025.0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2025.0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2025.0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2025.0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2025.0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2025.0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2025.0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2025.0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2025.0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2025.0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2025.0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2025.0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2025.0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2025.0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2025.0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2025.0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2025.0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2025.0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2025.0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2025.0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2025.0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2025.0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2025.0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2025.0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2025.0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2025.0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2025.0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2025.0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2025.0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2025.0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2025.0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2025.0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2025.0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2025.0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2025.0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2025.0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2025.0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2025.0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2025.0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2025.0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2025.0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2025.0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2025.0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2025.0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2025.0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2025.0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2025.0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2025.0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2025.0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2025.0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2025.0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2025.0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2025.0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2025.0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2025.0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2025.0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2025.0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2025.0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2025.0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2025.0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2025.0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2025.0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2025.0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2025.0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2025.0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2025.0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2025.0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2025.0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2025.0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2025.0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2025.0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2025.0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2025.0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2025.0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2025.0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2025.0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2025.0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2025.0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2025.0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2025.0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2025.0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2025.0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2025.0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2025.0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2025.0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2025.0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2025.0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2025.0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2025.0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2025.0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2025.0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2025.0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2025.0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2025.0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2025.0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2025.0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2025.0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2025.0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2025.0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2025.0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2025.0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2025.0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2025.0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2025.0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2025.0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2025.0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2025.0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2025.0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2025.0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2025.0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2025.0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2025.0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2025.0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2025.0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2025.0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2025.0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2025.0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2025.0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2025.0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2025.0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2025.0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2025.0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2025.0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2025.0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2025.0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2025.0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2025.0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2025.0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2025.0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2025.0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2025.0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2025.0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2025.0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2025.0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2025.0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2025.0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2025.0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2025.0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2025.0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2025.0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2025.0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2025.0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2025.0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2025.0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2025.0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2025.0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2025.0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2025.0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2025.0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2025.0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2025.0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2025.0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2025.0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2025.0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2025.0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2025.0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2025.0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2025.0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2025.0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2025.0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2025.0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2025.0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2025.0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2025.0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2025.0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2025.0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2025.0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2025.0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2025.0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2025.0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2025.0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2025.0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2025.0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2025.0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2025.0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2025.0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2025.0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2025.0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2025.0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2025.0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2025.0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2025.0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2025.0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2025.0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2025.0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2025.0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2025.0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2025.0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2025.0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2025.0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2025.0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2025.0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2025.0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2025.0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2025.0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2025.0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2025.0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2025.0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2025.0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2025.0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2025.0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2025.0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2025.0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2025.0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2025.0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2025.0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2025.0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2025.0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2025.0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2025.0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2025.0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2025.0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2025.0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2025.0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2025.0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2025.0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2025.0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2025.0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2025.0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2025.0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2025.0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2025.0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2025.0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2025.0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2025.0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2025.0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2025.0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2025.0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2025.0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2025.0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2025.0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2025.0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2025.0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2025.0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2025.0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2025.0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2025.0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2025.0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2025.0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2025.0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2025.0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2025.0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2025.0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2025.0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2025.0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2025.0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2025.0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2025.0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2025.0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2025.0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2025.0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2025.0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2025.0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2025.0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2025.0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2025.0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2025.0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2025.0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2025.0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2025.0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2025.0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2025.0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2025.0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2025.0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2025.0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2025.0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2025.0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2025.0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2025.0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2025.0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2025.0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2025.0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2025.0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2025.0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2025.0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2025.0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2025.0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2025.0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2025.0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2025.0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2025.0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2025.0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2025.0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2025.0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2025.0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2025.0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2025.0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2025.0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2025.0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2025.0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2025.0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2025.0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2025.0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2025.0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2025.0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2025.0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2025.0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2025.0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2025.0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2025.0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2025.0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2025.0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2025.0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2025.0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2025.0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2025.0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2025.0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2025.0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2025.0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2025.0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2025.0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2025.0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2025.0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2025.0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2025.0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2025.0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2025.0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2025.0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2025.0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2025.0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2025.0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2025.0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2025.0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2025.0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2025.0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2025.0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2025.0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2025.0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2025.0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2025.0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2025.0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2025.0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2025.0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2025.0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2025.0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2025.0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2025.0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2025.0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2025.0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2025.0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2025.0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2025.0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2025.0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2025.0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2025.0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2025.0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2025.0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2025.0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2025.0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2025.0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2025.0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2025.0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2025.0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2025.0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2025.0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2025.0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2025.0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2025.0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2025.0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2025.0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2025.0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2025.0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2025.0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2025.0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2025.0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2025.0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2025.0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2025.0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2025.0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2025.0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2025.0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2025.0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2025.0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2025.0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2025.0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2025.0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2025.0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2025.0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2025.0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2025.0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2025.0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2025.0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2025.0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2025.0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2025.0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2025.0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2025.0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2025.0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2025.0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2025.0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2025.0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2025.0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2025.0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2025.0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2025.0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2025.0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2025.0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2025.0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2025.0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2025.0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2025.0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2025.0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2025.0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2025.0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2025.0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2025.0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2025.0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2025.0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2025.0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2025.0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2025.0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2025.0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2025.0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2025.0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2025.0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2025.0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2025.0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2025.0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2025.0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2025.0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2025.0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2025.0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2025.0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2025.0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2025.0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2025.0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2025.0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2025.0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2025.0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2025.0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2025.0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2025.0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2025.0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2025.0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2025.0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2025.0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2025.0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2025.0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2025.0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2025.0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2025.0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2025.0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2025.0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2025.0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2025.0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2025.0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2025.0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2025.0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2025.0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2025.0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2025.0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2025.0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2025.0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2025.0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2025.0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2025.0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2025.0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2025.0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2025.0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2025.0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2025.0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2025.0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2025.0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2025.0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2025.0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2025.0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2025.0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2025.0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2025.0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2025.0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2025.0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2025.0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2025.0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2025.0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2025.0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2025.0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2025.0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2025.0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2025.0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2025.0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2025.0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2025.0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2025.0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2025.0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2025.0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2025.0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2025.0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2025.0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2025.0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2025.0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2025.0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2025.0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2025.0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2025.0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2025.0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2025.0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2025.0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2025.0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2025.0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2025.0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2025.0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2025.0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2025.0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2025.0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2025.0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2025.0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2025.0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2025.0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2025.0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2025.0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2025.0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2025.0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2025.0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2025.0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2025.0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2025.0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2025.0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2025.0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2025.0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2025.0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2025.0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2025.0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2025.0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2025.0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2025.0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2025.0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2025.0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2025.0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2025.0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2025.0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2025.0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2025.0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2025.0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2025.0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2025.0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2025.0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2025.0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2025.0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2025.0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2025.0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2025.0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2025.0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2025.0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2025.0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2025.0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2025.0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2025.0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2025.0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2025.0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2025.0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2025.0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2025.0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2025.0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2025.0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2025.0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2025.0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2025.0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2025.0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2025.0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2025.0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2025.0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2025.0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2025.0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2025.0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2025.0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2025.0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2025.0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2025.0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2025.0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2025.0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2025.0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2025.0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2025.0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2025.0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2025.0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2025.0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2025.0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2025.0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2025.0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2025.0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2025.0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2025.0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2025.0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2025.0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2025.0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2025.0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2025.0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2025.0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2025.0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2025.0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2025.0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2025.0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2025.0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2025.0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2025.0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2025.0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2025.0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2025.0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2025.0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2025.0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2025.0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2025.0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2025.0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2025.0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2025.0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2025.0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2025.0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2025.0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2025.0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2025.0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2025.0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2025.0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2025.0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2025.0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2025.0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2025.0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2025.0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2025.0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2025.0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2025.0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2025.0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2025.0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2025.0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2025.0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2025.0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2025.0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2025.0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2025.0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2025.0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2025.0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2025.0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2025.0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2025.0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2025.0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2025.0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2025.0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2025.0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2025.0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2025.0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2025.0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2025.0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2025.0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2025.0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2025.0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2025.0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2025.0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2025.0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2025.0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2025.0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2025.0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2025.0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2025.0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2025.0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2025.0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2025.0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2025.0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2025.0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2025.0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2025.0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2025.0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2025.0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2025.0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2025.0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2025.0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2025.0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2025.0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2025.0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2025.0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2025.0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2025.0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2025.0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2025.0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2025.0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2025.0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2025.0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2025.0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2025.0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2025.0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2025.0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2025.0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2025.0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2025.0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2025.0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2025.0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2025.0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2025.0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2025.0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2025.0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2025.0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2025.0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2025.0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2025.0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2025.0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2025.0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2025.0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2025.0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2025.0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2025.0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2025.0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2025.0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2025.0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2025.0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2025.0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2025.0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2025.0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2025.0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2025.0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2025.0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2025.0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2025.0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2025.0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2025.0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2025.0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2025.0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2025.0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2025.0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2025.0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2025.0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2025.0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2025.0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2025.0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2025.0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2025.0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2025.0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2025.0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2025.0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2025.0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2025.0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2025.0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2025.0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2025.0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2025.0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2025.0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2025.0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2025.0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2025.0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2025.0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2025.0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2025.0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2025.0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2025.0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2025.0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2025.0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2025.0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2025.0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2025.0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2025.0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2025.0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2025.0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2025.0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2025.0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2025.0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2025.0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2025.0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2025.0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2025.0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2025.0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2025.0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2025.0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2025.0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2025.0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2025.0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2025.0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2025.0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2025.0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2025.0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2025.0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2025.0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2025.0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2025.0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2025.0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2025.0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2025.0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2025.0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2025.0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2025.0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2025.0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2025.0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2025.0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2025.0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2025.0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2025.0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2025.0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2025.0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2025.0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2025.0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2025.0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2025.0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2025.0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2025.0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2025.0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2025.0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2025.0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2025.0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2025.0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2025.0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2025.0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2025.0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2025.0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2025.0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2025.0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2025.0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2025.0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2025.0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2025.0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2025.0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2025.0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2025.0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2025.0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2025.0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2025.0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2025.0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2025.0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2025.0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2025.0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2025.0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2025.0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2025.0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2025.0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2025.0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2025.0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2025.0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2025.0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2025.0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2025.0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2025.0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2025.0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2025.0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2025.0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2025.0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2025.0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2025.0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2025.0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2025.0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2025.0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2025.0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2025.0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2025.0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2025.0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2025.0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2025.0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2025.0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2025.0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2025.0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2025.0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2025.0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2025.0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2025.0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2025.0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2025.0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2025.0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2025.0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2025.0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2025.0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2025.0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2025.0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2025.0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2025.0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2025.0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2025.0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2025.0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2025.0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2025.0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2025.0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2025.0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2025.0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2025.0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2025.0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2025.0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2025.0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2025.0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2025.0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2025.0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2025.0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2025.0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2025.0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2025.0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2025.0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2025.0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2025.0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2025.0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2025.0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2025.0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2025.0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2025.0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2025.0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2025.0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2025.0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2025.0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2025.0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2025.0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2025.0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2025.0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2025.0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2025.0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2025.0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2025.0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2025.0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2025.0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2025.0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2025.0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2025.0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2025.0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2025.0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2025.0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2025.0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2025.0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2025.0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2025.0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2025.0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2025.0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2025.0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2025.0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2025.0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2025.0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2025.0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2025.0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2025.0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2025.0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2025.0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2025.0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2025.0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2025.0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2025.0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2025.0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2025.0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2025.0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2025.0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2025.0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2025.0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2025.0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2025.0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2025.0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2025.0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2025.0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2025.0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2025.0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2025.0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2025.0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2025.0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2025.0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2025.0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2025.0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2025.0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2025.0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2025.0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2025.0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2025.0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2025.0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2025.0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2025.0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2025.0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2025.0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2025.0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2025.0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2025.0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2025.0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2025.0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2025.0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2025.0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2025.0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2025.0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2025.0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2025.0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2025.0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2025.0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2025.0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2025.0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2025.0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2025.0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2025.0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2025.0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2025.0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2025.0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2025.0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2025.0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2025.0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2025.0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2025.0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2025.0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2025.0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2025.0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2025.0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2025.0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2025.0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2025.0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2025.0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2025.0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2025.0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2025.0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2025.0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2025.0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2025.0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2025.0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2025.0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2025.0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2025.0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2025.0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2025.0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2025.0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2025.0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2025.0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2025.0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2025.0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2025.0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2025.0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2025.0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2025.0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2025.0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2025.0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2025.0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2025.0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2025.0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2025.0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2025.0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2025.0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2025.0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2025.0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2025.0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2025.0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2025.0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2025.0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2025.0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2025.0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2025.0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2025.0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2025.0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2025.0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2025.0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2025.0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2025.0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2025.0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2025.0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2025.0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2025.0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2025.0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2025.0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2025.0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2025.0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2025.0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2025.0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2025.0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2025.0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2025.0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2025.0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2025.0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2025.0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2025.0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2025.0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2025.0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2025.0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2025.0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2025.0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2025.0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2025.0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2025.0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2025.0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2025.0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2025.0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2025.0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2025.0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2025.0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2025.0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2025.0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2025.0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2025.0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2025.0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2025.0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2025.0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2025.0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2025.0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2025.0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2025.0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2025.0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2025.0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2025.0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2025.0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2025.0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2025.0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2025.0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2025.0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2025.0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2025.0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2025.0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2025.0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2025.0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2025.0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2025.0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2025.0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2025.0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2025.0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2025.0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2025.0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2025.0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2025.0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2025.0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2025.0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2025.0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2025.0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2025.0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2025.0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2025.0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2025.0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2025.0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2025.0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2025.0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2025.0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2025.0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2025.0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2025.0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2025.0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2025.0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2025.0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2025.0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2025.0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2025.0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2025.0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2025.0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2025.0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2025.0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2025.0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2025.0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2025.0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2025.0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2025.0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2025.0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2025.0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2025.0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2025.0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2025.0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2025.0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2025.0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2025.0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2025.0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2025.0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2025.0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2025.0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2025.0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2025.0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2025.0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2025.0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2025.0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2025.0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2025.0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2025.0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2025.0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2025.0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2025.0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2025.0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2025.0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2025.0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2025.0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2025.0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2025.0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2025.0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2025.0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2025.0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2025.0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2025.0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2025.0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2025.0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2025.0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2025.0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2025.0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2025.0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2025.0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2025.0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2025.0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2025.0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2025.0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2025.0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2025.0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2025.0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2025.0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2025.0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2025.0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2025.0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2025.0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2025.0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2025.0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2025.0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2025.0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2025.0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2025.0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2025.0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2025.0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2025.0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2025.0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2025.0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2025.0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2025.0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2025.0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2025.0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2025.0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2025.0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2025.0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2025.0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2025.0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2025.0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2025.0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2025.0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2025.0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2025.0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2025.0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2025.0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2025.0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2025.0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2025.0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2025.0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2025.0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2025.0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2025.0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2025.0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2025.0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2025.0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2025.0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2025.0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2025.0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2025.0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2025.0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2025.0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2025.0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2025.0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2025.0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2025.0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2025.0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2025.0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2025.0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2025.0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2025.0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2025.0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2025.0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2025.0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2025.0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2025.0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2025.0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2025.0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2025.0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2025.0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2025.0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2025.0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2025.0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2025.0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2025.0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2025.0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2025.0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2025.0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2025.0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2025.0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2025.0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2025.0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2025.0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2025.0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2025.0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2025.0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2025.0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2025.0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2025.0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2025.0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2025.0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2025.0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2025.0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2025.0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2025.0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2025.0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2025.0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2025.0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2025.0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2025.0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2025.0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2025.0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2025.0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2025.0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2025.0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2025.0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2025.0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2025.0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2025.0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2025.0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2025.0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2025.0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2025.0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2025.0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2025.0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2025.0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2025.0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2025.0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2025.0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2025.0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2025.0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2025.0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2025.0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2025.0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2025.0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2025.0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2025.0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2025.0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2025.0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2025.0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2025.0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2025.0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2025.0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2025.0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2025.0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2025.0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2025.0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2025.0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2025.0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2025.0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2025.0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2025.0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2025.0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2025.0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2025.0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2025.0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2025.0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2025.0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2025.0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2025.0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2025.0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2025.0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2025.0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2025.0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2025.0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2025.0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2025.0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2025.0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2025.0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2025.0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2025.0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2025.0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2025.0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2025.0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2025.0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2025.0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2025.0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2025.0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2025.0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2025.0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2025.0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2025.0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2025.0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2025.0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2025.0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2025.0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2025.0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2025.0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2025.0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2025.0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2025.0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2025.0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2025.0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2025.0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2025.0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2025.0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2025.0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2025.0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2025.0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2025.0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2025.0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2025.0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2025.0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2025.0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2025.0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2025.0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2025.0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2025.0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2025.0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2025.0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2025.0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2025.0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2025.0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2025.0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2025.0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2025.0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2025.0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2025.0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2025.0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2025.0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2025.0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2025.0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2025.0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2025.0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2025.0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2025.0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2025.0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2025.0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2025.0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2025.0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2025.0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2025.0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2025.0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2025.0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2025.0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2025.0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2025.0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2025.0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2025.0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2025.0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2025.0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2025.0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2025.0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2025.0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2025.0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2025.0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2025.0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2025.0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2025.0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2025.0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2025.0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2025.0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2025.0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2025.0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2025.0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2025.0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2025.0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2025.0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2025.0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2025.0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2025.0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2025.0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2025.0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2025.0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2025.0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2025.0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2025.0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2025.0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2025.0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2025.0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2025.0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2025.0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2025.0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2025.0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2025.0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2025.0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2025.0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2025.0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2025.0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2025.0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2025.0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2025.0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2025.0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2025.0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2025.0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2025.0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2025.0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2025.0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2025.0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2025.0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2025.0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2025.0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2025.0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2025.0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2025.0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2025.0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2025.0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2025.0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2025.0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2025.0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2025.0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2025.0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2025.0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2025.0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2025.0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2025.0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2025.0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2025.0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2025.0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2025.0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2025.0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2025.0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2025.0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2025.0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2025.0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2025.0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2025.0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2025.0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2025.0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2025.0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2025.0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2025.0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2025.0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2025.0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2025.0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2025.0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2025.0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2025.0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2025.0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2025.0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2025.0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2025.0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2025.0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2025.0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2025.0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2025.0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2025.0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2025.0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2025.0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2025.0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2025.0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2025.0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2025.0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2025.0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2025.0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2025.0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2025.0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2025.0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2025.0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2025.0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2025.0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2025.0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2025.0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2025.0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2025.0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2025.0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2025.0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2025.0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2025.0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2025.0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2025.0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2025.0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2025.0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2025.0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2025.0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2025.0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2025.0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2025.0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2025.0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2025.0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2025.0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2025.0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2025.0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2025.0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2025.0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2025.0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2025.0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2025.0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2025.0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2025.0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2025.0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2025.0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2025.0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2025.0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2025.0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2025.0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2025.0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2025.0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2025.0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2025.0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2025.0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2025.0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2025.0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2025.0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2025.0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2025.0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2025.0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2025.0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2025.0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2025.0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2025.0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2025.0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2025.0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2025.0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2025.0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2025.0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2025.0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2025.0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2025.0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2025.0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2025.0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2025.0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2025.0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2025.0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2025.0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2025.0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2025.0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2025.0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2025.0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2025.0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2025.0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2025.0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2025.0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2025.0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2025.0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2025.0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2025.0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2025.0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2025.0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2025.0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2025.0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2025.0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2025.0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2025.0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2025.0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2025.0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2025.0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2025.0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2025.0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2025.0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2025.0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2025.0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2025.0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2025.0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2025.0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2025.0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2025.0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2025.0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2025.0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2025.0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2025.0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2025.0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2025.0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2025.0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2025.0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2025.0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2025.0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2025.0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2025.0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2025.0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2025.0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2025.0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2025.0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2025.0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2025.0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2025.0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2025.0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2025.0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2025.0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2025.0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2025.0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2025.0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2025.0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2025.0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2025.0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2025.0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2025.0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2025.0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2025.0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2025.0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2025.0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2025.0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2025.0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2025.0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2025.0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2025.0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2025.0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2025.0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2025.0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2025.0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2025.0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2025.0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2025.0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2025.0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2025.0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2025.0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2025.0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2025.0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2025.0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2025.0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2025.0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2025.0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2025.0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2025.0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2025.0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2025.0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2025.0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2025.0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2025.0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2025.0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2025.0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2025.0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2025.0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2025.0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2025.0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2025.0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2025.0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2025.0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2025.0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2025.0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2025.0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2025.0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2025.0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2025.0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2025.0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2025.0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2025.0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2025.0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2025.0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2025.0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2025.0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2025.0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2025.0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2025.0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2025.0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2025.0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2025.0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2025.0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2025.0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2025.0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2025.0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2025.0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2025.0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2025.0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2025.0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2025.0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2025.0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2025.0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2025.0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2025.0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2025.0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2025.0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2025.0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2025.0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2025.0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2025.0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2025.0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2025.0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2025.0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2025.0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2025.0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2025.0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2025.0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2025.0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2025.0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2025.0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2025.0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2025.0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2025.0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2025.0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2025.0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2025.0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2025.0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2025.0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2025.0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2025.0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2025.0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2025.0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2025.0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2025.0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2025.0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2025.0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2025.0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2025.0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2025.0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2025.0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2025.0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2025.0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2025.0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2025.0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2025.0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2025.0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2025.0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2025.0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2025.0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2025.0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2025.0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2025.0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2025.0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2025.0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2025.0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2025.0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2025.0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2025.0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2025.0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2025.0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2025.0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2025.0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2025.0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2025.0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2025.0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2025.0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2025.0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2025.0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2025.0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2025.0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2025.0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2025.0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2025.0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2025.0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2025.0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2025.0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2025.0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2025.0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2025.0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2025.0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2025.0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2025.0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2025.0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2025.0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2025.0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2025.0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2025.0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2025.0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2025.0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2025.0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2025.0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2025.0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2025.0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2025.0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2025.0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2025.0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2025.0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2025.0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2025.0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2025.0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2025.0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2025.0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2025.0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2025.0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2025.0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2025.0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2025.0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2025.0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2025.0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2025.0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2025.0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2025.0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2025.0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2025.0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2025.0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2025.0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2025.0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2025.0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2025.0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2025.0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2025.0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2025.0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2025.0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2025.0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2025.0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2025.0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2025.0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2025.0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2025.0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2025.0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2025.0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2025.0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2025.0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2025.0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2025.0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2025.0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2025.0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2025.0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2025.0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2025.0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2025.0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2025.0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2025.0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2025.0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2025.0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2025.0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2025.0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2025.0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2025.0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2025.0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2025.0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2025.0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2025.0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2025.0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2025.0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2025.0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2025.0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2025.0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2025.0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2025.0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2025.0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2025.0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2025.0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2025.0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2025.0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2025.0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2025.0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2025.0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2025.0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2025.0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2025.0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2025.0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2025.0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2025.0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2025.0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2025.0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2025.0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2025.0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2025.0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2025.0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2025.0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2025.0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2025.0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2025.0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2025.0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2025.0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2025.0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2025.0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2025.0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2025.0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2025.0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2025.0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2025.0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2025.0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2025.0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2025.0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2025.0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2025.0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2025.0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2025.0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2025.0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2025.0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2025.0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2025.0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2025.0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2025.0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2025.0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2025.0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2025.0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2025.0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2025.0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2025.0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2025.0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2025.0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2025.0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2025.0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2025.0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2025.0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2025.0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2025.0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2025.0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2025.0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2025.0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2025.0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2025.0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2025.0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2025.0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2025.0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2025.0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2025.0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2025.0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2025.0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2025.0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2025.0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2025.0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2025.0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2025.0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2025.0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2025.0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2025.0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2025.0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2025.0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2025.0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2025.0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2025.0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2025.0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2025.0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2025.0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2025.0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2025.0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2025.0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2025.0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2025.0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2025.0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2025.0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2025.0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2025.0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2025.0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2025.0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2025.0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2025.0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2025.0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2025.0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2025.0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2025.0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2025.0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2025.0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2025.0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2025.0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2025.0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2025.0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2025.0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2025.0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2025.0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2025.0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2025.0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2025.0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2025.0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2025.0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2025.0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2025.0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2025.0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2025.0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2025.0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2025.0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2025.0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2025.0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2025.0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2025.0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2025.0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2025.0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2025.0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2025.0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2025.0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2025.0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2025.0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2025.0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2025.0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2025.0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2025.0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2025.0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2025.0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2025.0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2025.0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2025.0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2025.0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2025.0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2025.0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2025.0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2025.0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2025.0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2025.0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2025.0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2025.0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2025.0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2025.0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2025.0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2025.0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2025.0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2025.0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2025.0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2025.0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2025.0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2025.0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2025.0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2025.0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2025.0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2025.0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2025.0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2025.0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2025.0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2025.0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2025.0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2025.0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2025.0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2025.0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2025.0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2025.0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2025.0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2025.0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2025.0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2025.0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2025.0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2025.0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2025.0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2025.0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2025.0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2025.0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2025.0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2025.0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2025.0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2025.0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2025.0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2025.0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2025.0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2025.0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2025.0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2025.0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2025.0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2025.0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2025.0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2025.0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2025.0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2025.0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2025.0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2025.0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2025.0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2025.0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2025.0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2025.0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2025.0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2025.0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2025.0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2025.0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2025.0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2025.0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2025.0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2025.0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2025.0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2025.0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2025.0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2025.0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2025.0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2025.0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2025.0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2025.0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2025.0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2025.0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2025.0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2025.0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2025.0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2025.0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2025.0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2025.0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2025.0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2025.0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2025.0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2025.0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2025.0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2025.0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2025.0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2025.0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2025.0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2025.0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2025.0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2025.0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2025.0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2025.0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2025.0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2025.0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2025.0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2025.0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2025.0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2025.0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2025.0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2025.0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2025.0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2025.0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2025.0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2025.0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2025.0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2025.0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2025.0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2025.0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2025.0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2025.0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2025.0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2025.0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2025.0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2025.0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2025.0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2025.0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2025.0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2025.0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2025.0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2025.0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2025.0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2025.0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2025.0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2025.0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2025.0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2025.0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2025.0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2025.0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2025.0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2025.0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2025.0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2025.0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2025.0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2025.0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2025.0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2025.0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2025.0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2025.0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2025.0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2025.0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2025.0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2025.0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2025.0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2025.0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2025.0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2025.0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2025.0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2025.0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2025.0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2025.0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2025.0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2025.0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2025.0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2025.0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2025.0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2025.0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2025.0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2025.0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2025.0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2025.0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2025.0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2025.0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2025.0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2025.0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2025.0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2025.0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2025.0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2025.0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2025.0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2025.0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2025.0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2025.0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2025.0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2025.0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2025.0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2025.0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2025.0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2025.0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2025.0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2025.0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2025.0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2025.0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2025.0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2025.0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2025.0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2025.0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2025.0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2025.0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2025.0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2025.0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2025.0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2025.0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2025.0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2025.0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2025.0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2025.0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2025.0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2025.0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2025.0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2025.0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2025.0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2025.0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2025.0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2025.0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2025.0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2025.0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2025.0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2025.0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2025.0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2025.0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2025.0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2025.0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2025.0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2025.0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2025.0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2025.0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2025.0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2025.0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2025.0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2025.0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2025.0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2025.0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2025.0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2025.0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2025.0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2025.0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2025.0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2025.0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2025.0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2025.0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2025.0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2025.0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2025.0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2025.0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2025.0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2025.0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2025.0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2025.0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2025.0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2025.0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2025.0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2025.0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2025.0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2025.0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2025.0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2025.0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2025.0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2025.0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2025.0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2025.0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2025.0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2025.0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2025.0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2025.0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2025.0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2025.0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2025.0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2025.0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2025.0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2025.0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2025.0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2025.0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2025.0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2025.0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2025.0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2025.0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2025.0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2025.0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2025.0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2025.0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2025.0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2025.0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2025.0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2025.0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2025.0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2025.0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2025.0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2025.0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2025.0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2025.0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2025.0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2025.0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2025.0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2025.0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2025.0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2025.0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2025.0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2025.0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2025.0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2025.0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2025.0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2025.0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2025.0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2025.0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2025.0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2025.0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2025.0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2025.0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2025.0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2025.0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2025.0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2025.0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2025.0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2025.0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2025.0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2025.0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2025.0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2025.0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2025.0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2025.0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2025.0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2025.0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2025.0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2025.0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2025.0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2025.0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2025.0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2025.0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2025.0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2025.0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2025.0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2025.0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2025.0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2025.0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2025.0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2025.0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2025.0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2025.0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2025.0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2025.0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2025.0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2025.0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2025.0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2025.0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2025.0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2025.0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2025.0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2025.0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2025.0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2025.0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2025.0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2025.0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2025.0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2025.0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2025.0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2025.0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2025.0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2025.0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2025.0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2025.0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2025.0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2025.0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2025.0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2025.0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2025.0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2025.0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2025.0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2025.0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2025.0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2025.0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2025.0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2025.0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2025.0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2025.0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2025.0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2025.0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2025.0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2025.0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2025.0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2025.0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2025.0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2025.0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2025.0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2025.0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2025.0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2025.0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2025.0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2025.0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2025.0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2025.0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2025.0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2025.0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2025.0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2025.0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2025.0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2025.0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2025.0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2025.0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2025.0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2025.0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2025.0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2025.0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2025.0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2025.0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2025.0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2025.0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2025.0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2025.0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2025.0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2025.0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2025.0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2025.0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2025.0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2025.0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2025.0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2025.0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2025.0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2025.0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2025.0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2025.0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2025.0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2025.0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2025.0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2025.0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2025.0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2025.0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2025.0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2025.0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2025.0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2025.0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2025.0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2025.0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2025.0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2025.0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2025.0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2025.0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2025.0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2025.0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2025.0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2025.0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2025.0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2025.0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2025.0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2025.0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2025.0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2025.0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2025.0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2025.0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2025.0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2025.0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2025.0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2025.0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2025.0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2025.0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2025.0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2025.0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2025.0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2025.0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2025.0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2025.0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2025.0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2025.0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2025.0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2025.0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2025.0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2025.0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2025.0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2025.0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2025.0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2025.0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2025.0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2025.0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2025.0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2025.0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2025.0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2025.0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2025.0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2025.0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2025.0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2025.0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2025.0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2025.0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2025.0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2025.0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2025.0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2025.0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2025.0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2025.0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2025.0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2025.0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2025.0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2025.0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2025.0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2025.0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2025.0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2025.0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2025.0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2025.0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2025.0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2025.0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2025.0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2025.0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2025.0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2025.0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2025.0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2025.0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2025.0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2025.0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2025.0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2025.0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2025.0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2025.0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2025.0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2025.0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2025.0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2025.0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2025.0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2025.0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2025.0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2025.0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2025.0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2025.0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2025.0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2025.0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2025.0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2025.0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2025.0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2025.0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2025.0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2025.0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2025.0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2025.0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2025.0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2025.0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2025.0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2025.0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2025.0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2025.0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2025.0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2025.0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2025.0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2025.0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2025.0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2025.0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2025.0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2025.0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2025.0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2025.0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2025.0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2025.0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2025.0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2025.0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2025.0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2025.0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2025.0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2025.0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2025.0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2025.0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2025.0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2025.0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2025.0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2025.0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2025.0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2025.0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2025.0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2025.0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2025.0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2025.0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2025.0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2025.0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2025.0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2025.0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2025.0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2025.0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2025.0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2025.0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2025.0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2025.0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2025.0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2025.0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2025.0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2025.0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2025.0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2025.0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2025.0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2025.0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2025.0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2025.0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2025.0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2025.0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2025.0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2025.0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2025.0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2025.0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2025.0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2025.0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2025.0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2025.0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2025.0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2025.0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2025.0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2025.0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2025.0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2025.0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2025.0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2025.0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2025.0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2025.0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2025.0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2025.0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2025.0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2025.0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2025.0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2025.0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2025.0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2025.0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2025.0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2025.0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2025.0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2025.0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2025.0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2025.0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2025.0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2025.0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2025.0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2025.0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2025.0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2025.0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2025.0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2025.0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2025.0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2025.0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2025.0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2025.0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2025.0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2025.0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2025.0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2025.0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2025.0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2025.0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2025.0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2025.0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2025.0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2025.0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2025.0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2025.0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2025.0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2025.0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2025.0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2025.0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2025.0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2025.0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2025.0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2025.0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2025.0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2025.0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2025.0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2025.0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2025.0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2025.0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2025.0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2025.0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2025.0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2025.0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2025.0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2025.0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2025.0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2025.0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2025.0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2025.0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2025.0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2025.0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2025.0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2025.0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2025.0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2025.0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2025.0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2025.0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2025.0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2025.0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2025.0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2025.0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2025.0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2025.0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2025.0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2025.0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2025.0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2025.0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2025.0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2025.0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2025.0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2025.0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2025.0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2025.0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2025.0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2025.0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2025.0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2025.0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2025.0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2025.0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2025.0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2025.0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2025.0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2025.0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2025.0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2025.0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2025.0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2025.0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2025.0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2025.0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2025.0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2025.0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2025.0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2025.0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2025.0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2025.0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2025.0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2025.0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2025.0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2025.0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2025.0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2025.0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2025.0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2025.0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2025.0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2025.0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2025.0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2025.0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2025.0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2025.0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2025.0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2025.0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2025.0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2025.0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2025.0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2025.0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2025.0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2025.0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2025.0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2025.0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2025.0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2025.0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2025.0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2025.0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2025.0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2025.0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2025.0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2025.0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2025.0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2025.0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2025.0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2025.0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2025.0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2025.0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2025.0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2025.0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2025.0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2025.0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2025.0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2025.0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2025.0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2025.0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2025.0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2025.0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2025.0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2025.0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2025.0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2025.0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2025.0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2025.0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2025.0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2025.0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2025.0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2025.0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2025.0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2025.0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2025.0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2025.0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2025.0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2025.0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2025.0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2025.0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2025.0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2025.0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2025.0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2025.0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2025.0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2025.0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2025.0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2025.0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2025.0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2025.0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2025.0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2025.0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2025.0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2025.0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2025.0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2025.0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2025.0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2025.0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2025.0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2025.0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2025.0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2025.0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2025.0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2025.0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2025.0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2025.0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2025.0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2025.0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2025.0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2025.0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2025.0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2025.0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2025.0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2025.0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2025.0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2025.0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2025.0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2025.0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2025.0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2025.0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2025.0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2025.0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2025.0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2025.0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2025.0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2025.0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2025.0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2025.0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2025.0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2025.0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2025.0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2025.0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2025.0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2025.0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2025.0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2025.0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2025.0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2025.0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2025.0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2025.0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2025.0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2025.0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2025.0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2025.0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2025.0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2025.0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2025.0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2025.0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2025.0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2025.0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2025.0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2025.0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2025.0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2025.0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2025.0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2025.0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2025.0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2025.0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2025.0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2025.0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2025.0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2025.0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2025.0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2025.0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2025.0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2025.0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2025.0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2025.0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2025.0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2025.0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2025.0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2025.0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2025.0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2025.0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2025.0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2025.0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2025.0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2025.0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2025.0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2025.0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2025.0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2025.0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2025.0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2025.0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2025.0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2025.0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2025.0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2025.0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2025.0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2025.0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2025.0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2025.0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2025.0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2025.0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2025.0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2025.0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2025.0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2025.0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2025.0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2025.0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2025.0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2025.0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2025.0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2025.0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2025.0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2025.0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2025.0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2025.0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2025.0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2025.0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2025.0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2025.0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2025.0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2025.0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2025.0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2025.0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2025.0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2025.0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2025.0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2025.0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2025.0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2025.0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2025.0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2025.0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2025.0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2025.0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2025.0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2025.0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2025.0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2025.0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2025.0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2025.0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2025.0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2025.0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2025.0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2025.0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2025.0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2025.0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2025.0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2025.0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2025.0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2025.0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2025.0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2025.0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2025.0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2025.0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2025.0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2025.0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2025.0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2025.0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2025.0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2025.0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2025.0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2025.0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2025.0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2025.0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2025.0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2025.0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2025.0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2025.0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2025.0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2025.0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2025.0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2025.0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2025.0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2025.0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2025.0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2025.0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2025.0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2025.0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2025.0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2025.0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2025.0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2025.0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2025.0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2025.0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2025.0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2025.0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2025.0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2025.0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2025.0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2025.0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2025.0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2025.0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2025.0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2025.0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2025.0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2025.0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2025.0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2025.0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2025.0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2025.0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2025.0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2025.0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2025.0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2025.0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2025.0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2025.0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2025.0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2025.0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2025.0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2025.0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2025.0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2025.0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2025.0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2025.0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2025.0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2025.0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2025.0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2025.0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2025.0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2025.0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2025.0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2025.0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2025.0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2025.0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2025.0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2025.0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2025.0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2025.0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2025.0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2025.0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2025.0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2025.0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2025.0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2025.0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2025.0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2025.0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2025.0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2025.0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2025.0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2025.0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2025.0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2025.0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2025.0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2025.0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2025.0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2025.0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2025.0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2025.0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2025.0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2025.0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2025.0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2025.0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2025.0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2025.0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2025.0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2025.0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2025.0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2025.0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2025.0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2025.0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2025.0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2025.0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2025.0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2025.0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2025.0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2025.0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2025.0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2025.0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2025.0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2025.0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2025.0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2025.0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2025.0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2025.0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2025.0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2025.0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2025.0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2025.0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2025.0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2025.0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2025.0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2025.0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2025.0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2025.0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2025.0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2025.0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2025.0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2025.0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2025.0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2025.0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2025.0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2025.0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2025.0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2025.0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2025.0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2025.0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2025.0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2025.0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2025.0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2025.0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2025.0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2025.0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2025.0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2025.0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2025.0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2025.0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2025.0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2025.0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2025.0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2025.0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2025.0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2025.0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2025.0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2025.0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2025.0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2025.0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2025.0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2025.0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2025.0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2025.0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2025.0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2025.0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2025.0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2025.0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2025.0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2025.0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2025.0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2025.0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2025.0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2025.0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2025.0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2025.0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2025.0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2025.0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2025.0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2025.0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2025.0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2025.0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2025.0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2025.0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2025.0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2025.0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2025.0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2025.0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2025.0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2025.0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2025.0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2025.0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2025.0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2025.0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2025.0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2025.0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2025.0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2025.0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2025.0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2025.0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2025.0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2025.0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2025.0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2025.0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2025.0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2025.0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2025.0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2025.0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2025.0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2025.0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2025.0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2025.0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2025.0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2025.0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2025.0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2025.0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2025.0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2025.0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2025.0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2025.0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2025.0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2025.0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2025.0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2025.0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2025.0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2025.0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2025.0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2025.0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2025.0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2025.0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2025.0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2025.0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2025.0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2025.0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2025.0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2025.0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2025.0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2025.0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2025.0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2025.0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2025.0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2025.0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2025.0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2025.0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2025.0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2025.0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2025.0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2025.0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2025.0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2025.0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2025.0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2025.0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2025.0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2025.0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2025.0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2025.0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2025.0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2025.0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2025.0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2025.0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2025.0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2025.0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2025.0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2025.0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2025.0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2025.0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2025.0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2025.0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2025.0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2025.0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2025.0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2025.0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2025.0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2025.0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2025.0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2025.0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2025.0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2025.0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2025.0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2025.0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2025.0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2025.0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2025.0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2025.0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2025.0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2025.0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2025.0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2025.0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2025.0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2025.0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2025.0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2025.0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2025.0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2025.0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2025.0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2025.0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2025.0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2025.0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2025.0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2025.0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2025.0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2025.0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2025.0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2025.0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2025.0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2025.0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2025.0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2025.0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2025.0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2025.0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2025.0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2025.0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2025.0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2025.0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2025.0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2025.0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2025.0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2025.0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2025.0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2025.0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2025.0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2025.0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2025.0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2025.0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2025.0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2025.0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2025.0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2025.0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2025.0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2025.0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2025.0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2025.0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2025.0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2025.0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2025.0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2025.0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2025.0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2025.0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2025.0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2025.0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2025.0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2025.0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2025.0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2025.0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2025.0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2025.0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2025.0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2025.0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2025.0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2025.0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2025.0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2025.0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2025.0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2025.0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2025.0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2025.0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2025.0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2025.0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2025.0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2025.0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2025.0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2025.0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2025.0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2025.0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2025.0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2025.0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2025.0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2025.0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2025.0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2025.0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2025.0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2025.0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2025.0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2025.0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2025.0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2025.0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2025.0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2025.0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2025.0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2025.0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2025.0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2025.0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2025.0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2025.0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2025.0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2025.0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2025.0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2025.0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2025.0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2025.0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2025.0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2025.0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2025.0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2025.0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2025.0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2025.0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2025.0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2025.0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2025.0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2025.0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2025.0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2025.0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2025.0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2025.0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2025.0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2025.0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2025.0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2025.0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2025.0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2025.0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2025.0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2025.0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2025.0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2025.0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2025.0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2025.0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2025.0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2025.0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2025.0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2025.0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2025.0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2025.0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2025.0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2025.0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2025.0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2025.0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2025.0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2025.0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2025.0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2025.0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2025.0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2025.0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2025.0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2025.0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2025.0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2025.0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2025.0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2025.0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2025.0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2025.0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2025.0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2025.0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2025.0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2025.0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2025.0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2025.0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2025.0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2025.0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2025.0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2025.0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2025.0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2025.0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2025.0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2025.0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2025.0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2025.0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2025.0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2025.0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2025.0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2025.0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2025.0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2025.0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2025.0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2025.0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2025.0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2025.0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2025.0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2025.0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2025.0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2025.0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2025.0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2025.0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2025.0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2025.0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2025.0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2025.0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2025.0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2025.0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2025.0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2025.0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2025.0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2025.0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2025.0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2025.0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2025.0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2025.0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2025.0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2025.0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2025.0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2025.0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2025.0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2025.0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2025.0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2025.0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2025.0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2025.0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2025.0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2025.0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2025.0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2025.0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2025.0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2025.0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2025.0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2025.0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2025.0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2025.0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2025.0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2025.0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2025.0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2025.0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2025.0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2025.0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2025.0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2025.0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2025.0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2025.0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2025.0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2025.0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2025.0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2025.0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2025.0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2025.0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2025.0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2025.0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2025.0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2025.0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2025.0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2025.0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2025.0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2025.0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2025.0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2025.0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2025.0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2025.0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2025.0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2025.0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2025.0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2025.0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2025.0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2025.0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2025.0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2025.0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2025.0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2025.0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2025.0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2025.0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2025.0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2025.0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2025.0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2025.0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2025.0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2025.0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2025.0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2025.0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2025.0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2025.0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2025.0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2025.0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2025.0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2025.0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2025.0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2025.0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2025.0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2025.0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2025.0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2025.0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2025.0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2025.0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2025.0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2025.0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2025.0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2025.0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2025.0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2025.0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2025.0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2025.0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2025.0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2025.0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2025.0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2025.0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2025.0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2025.0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2025.0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2025.0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2025.0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2025.0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2025.0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2025.0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2025.0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2025.0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2025.0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2025.0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2025.0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2025.0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2025.0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2025.0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2025.0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2025.0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2025.0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2025.0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2025.0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2025.0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2025.0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2025.0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2025.0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2025.0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2025.0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2025.0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2025.0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2025.0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2025.0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2025.0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2025.0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2025.0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2025.0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2025.0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2025.0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2025.0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2025.0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2025.0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2025.0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2025.0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2025.0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2025.0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2025.0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2025.0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2025.0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2025.0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2025.0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2025.0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2025.0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2025.0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2025.0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2025.0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2025.0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2025.0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2025.0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2025.0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2025.0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2025.0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2025.0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2025.0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2025.0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2025.0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2025.0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2025.0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2025.0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2025.0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2025.0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2025.0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2025.0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2025.0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2025.0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2025.0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2025.0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2025.0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2025.0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2025.0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2025.0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2025.0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2025.0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2025.0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2025.0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2025.0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2025.0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2025.0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2025.0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2025.0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2025.0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2025.0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2025.0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2025.0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2025.0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2025.0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2025.0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2025.0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2025.0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2025.0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2025.0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2025.0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2025.0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2025.0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2025.0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2025.0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2025.0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2025.0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2025.0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2025.0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2025.0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2025.0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2025.0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2025.0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2025.0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2025.0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2025.0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2025.0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2025.0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2025.0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2025.0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2025.0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2025.0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2025.0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2025.0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2025.0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2025.0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2025.0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2025.0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2025.0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2025.0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2025.0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2025.0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2025.0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2025.0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2025.0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2025.0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2025.0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2025.0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2025.0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2025.0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2025.0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2025.0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2025.0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2025.0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2025.0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2025.0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2025.0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2025.0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2025.0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2025.0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2025.0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2025.0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2025.0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2025.0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2025.0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2025.0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2025.0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2025.0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2025.0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2025.0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2025.0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2025.0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2025.0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2025.0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2025.0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2025.0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2025.0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2025.0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2025.0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2025.0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2025.0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2025.0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2025.0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2025.0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2025.0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2025.0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2025.0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2025.0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2025.0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2025.0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2025.0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2025.0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2025.0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2025.0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2025.0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2025.0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2025.0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2025.0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2025.0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2025.0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2025.0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2025.0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2025.0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2025.0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2025.0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2025.0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2025.0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2025.0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2025.0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2025.0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2025.0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2025.0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2025.0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2025.0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2025.0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2025.0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2025.0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2025.0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2025.0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2025.0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2025.0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2025.0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2025.0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2025.0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2025.0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2025.0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2025.0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2025.0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2025.0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2025.0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2025.0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2025.0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2025.0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2025.0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2025.0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2025.0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2025.0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2025.0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2025.0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2025.0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2025.0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2025.0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2025.0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2025.0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2025.0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2025.0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2025.0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2025.0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2025.0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2025.0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2025.0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2025.0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2025.0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2025.0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2025.0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2025.0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2025.0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2025.0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2025.0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2025.0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2025.0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2025.0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2025.0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2025.0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2025.0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2025.0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2025.0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2025.0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2025.0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2025.0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2025.0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2025.0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2025.0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2025.0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2025.0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2025.0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2025.0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2025.0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2025.0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2025.0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2025.0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2025.0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2025.0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2025.0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2025.0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2025.0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2025.0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2025.0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2025.0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2025.0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2025.0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2025.0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2025.0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2025.0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2025.0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2025.0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2025.0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2025.0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2025.0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2025.0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2025.0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2025.0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2025.0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2025.0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2025.0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2025.0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2025.0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2025.0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2025.0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2025.0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2025.0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2025.0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2025.0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2025.0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2025.0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2025.0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2025.0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2025.0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2025.0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2025.0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2025.0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2025.0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2025.0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2025.0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2025.0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2025.0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2025.0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2025.0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2025.0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2025.0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2025.0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2025.0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2025.0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2025.0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2025.0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2025.0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2025.0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2025.0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2025.0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2025.0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2025.0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2025.0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2025.0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2025.0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2025.0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2025.0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2025.0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2025.0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2025.0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2025.0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2025.0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2025.0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2025.0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2025.0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2025.0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2025.0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2025.0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2025.0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2025.0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2025.0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2025.0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2025.0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2025.0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2025.0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2025.0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2025.0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2025.0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2025.0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2025.0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2025.0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2025.0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2025.0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2025.0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2025.0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2025.0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2025.0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2025.0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2025.0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2025.0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2025.0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2025.0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2025.0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2025.0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2025.0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2025.0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2025.0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2025.0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2025.0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2025.0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2025.0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2025.0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2025.0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2025.0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2025.0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2025.0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2025.0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2025.0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2025.0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2025.0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2025.0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2025.0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2025.0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2025.0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2025.0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2025.0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2025.0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2025.0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2025.0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2025.0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2025.0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2025.0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2025.0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2025.0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2025.0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2025.0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2025.0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2025.0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2025.0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2025.0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2025.0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2025.0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2025.0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2025.0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2025.0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2025.0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2025.0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2025.0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2025.0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2025.0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2025.0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2025.0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2025.0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2025.0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2025.0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2025.0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2025.0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2025.0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2025.0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2025.0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2025.0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2025.0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2025.0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2025.0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2025.0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2025.0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2025.0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2025.0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2025.0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2025.0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2025.0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2025.0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2025.0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2025.0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2025.0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2025.0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2025.0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2025.0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2025.0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2025.0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2025.0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2025.0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2025.0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2025.0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2025.0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2025.0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2025.0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2025.0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2025.0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2025.0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2025.0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2025.0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2025.0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2025.0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2025.0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2025.0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2025.0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2025.0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2025.0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2025.0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2025.0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2025.0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2025.0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2025.0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2025.0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2025.0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2025.0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2025.0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2025.0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2025.0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2025.0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2025.0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2025.0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2025.0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2025.0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2025.0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2025.0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2025.0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2025.0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2025.0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2025.0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2025.0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2025.0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2025.0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2025.0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2025.0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2025.0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2025.0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2025.0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2025.0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2025.0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2025.0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2025.0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2025.0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2025.0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2025.0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2025.0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2025.0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2025.0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2025.0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2025.0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2025.0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2025.0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2025.0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2025.0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2025.0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2025.0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2025.0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2025.0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2025.0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2025.0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2025.0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2025.0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2025.0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2025.0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2025.0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2025.0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2025.0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2025.0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2025.0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2025.0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2025.0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2025.0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2025.0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2025.0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2025.0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2025.0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2025.0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2025.0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2025.0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2025.0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2025.0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2025.0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2025.0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2025.0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2025.0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2025.0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2025.0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2025.0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2025.0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2025.0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2025.0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2025.0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2025.0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2025.0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2025.0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2025.0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2025.0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2025.0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2025.0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2025.0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2025.0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2025.0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2025.0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2025.0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2025.0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2025.0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2025.0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2025.0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2025.0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2025.0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2025.0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2025.0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2025.0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2025.0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2025.0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2025.0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2025.0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2025.0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2025.0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2025.0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2025.0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2025.0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2025.0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2025.0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2025.0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2025.0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2025.0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2025.0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2025.0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2025.0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2025.0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2025.0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2025.0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2025.0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2025.0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2025.0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2025.0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2025.0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2025.0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2025.0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2025.0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2025.0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2025.0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2025.0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2025.0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2025.0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2025.0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2025.0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2025.0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2025.0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2025.0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2025.0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2025.0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2025.0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2025.0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2025.0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2025.0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2025.0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2025.0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2025.0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2025.0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2025.0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2025.0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2025.0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2025.0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2025.0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2025.0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2025.0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2025.0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2025.0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2025.0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2025.0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2025.0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2025.0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2025.0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2025.0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2025.0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2025.0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2025.0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2025.0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2025.0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2025.0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2025.0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2025.0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2025.0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2025.0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2025.0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2025.0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2025.0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2025.0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2025.0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2025.0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2025.0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2025.0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2025.0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2025.0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2025.0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2025.0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2025.0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2025.0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2025.0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2025.0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2025.0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2025.0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2025.0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2025.0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2025.0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2025.0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2025.0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2025.0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2025.0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2025.0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2025.0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2025.0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2025.0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2025.0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2025.0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2025.0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2025.0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2025.0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2025.0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2025.0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2025.0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2025.0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2025.0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2025.0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2025.0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2025.0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2025.0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2025.0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2025.0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2025.0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2025.0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2025.0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2025.0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2025.0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2025.0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2025.0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2025.0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2025.0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2025.0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2025.0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2025.0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2025.0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2025.0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2025.0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2025.0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2025.0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2025.0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2025.0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2025.0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2025.0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2025.0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2025.0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2025.0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2025.0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2025.0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2025.0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2025.0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2025.0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2025.0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2025.0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2025.0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2025.0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2025.0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2025.0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2025.0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2025.0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2025.0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2025.0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2025.0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2025.0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2025.0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2025.0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2025.0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2025.0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2025.0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2025.0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2025.0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2025.0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2025.0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2025.0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2025.0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2025.0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2025.0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2025.0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2025.0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2025.0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2025.0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2025.0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2025.0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2025.0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2025.0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2025.0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2025.0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2025.0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2025.0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2025.0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2025.0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2025.0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2025.0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2025.0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2025.0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2025.0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2025.0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2025.0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2025.0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2025.0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2025.0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2025.0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2025.0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2025.0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2025.0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2025.0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2025.0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2025.0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2025.0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2025.0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2025.0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2025.0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2025.0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2025.0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2025.0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2025.0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2025.0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2025.0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2025.0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2025.0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2025.0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2025.0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2025.0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2025.0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2025.0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2025.0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2025.0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2025.0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2025.0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2025.0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2025.0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2025.0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2025.0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2025.0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2025.0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2025.0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2025.0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2025.0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2025.0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2025.0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2025.0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2025.0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2025.0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2025.0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2025.0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2025.0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2025.0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2025.0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2025.0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2025.0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2025.0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2025.0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2025.0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2025.0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2025.0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2025.0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2025.0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2025.0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2025.0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2025.0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2025.0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2025.0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2025.0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2025.0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2025.0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2025.0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2025.0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2025.0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2025.0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2025.0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2025.0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2025.0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2025.0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2025.0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2025.0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2025.0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2025.0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2025.0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2025.0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2025.0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2025.0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2025.0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2025.0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2025.0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2025.0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2025.0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2025.0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2025.0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2025.0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2025.0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2025.0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2025.0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2025.0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2025.0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2025.0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2025.0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2025.0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2025.0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2025.0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2025.0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2025.0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2025.0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2025.0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2025.0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2025.0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2025.0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2025.0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2025.0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2025.0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2025.0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2025.0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2025.0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2025.0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2025.0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2025.0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2025.0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2025.0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2025.0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2025.0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2025.0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2025.0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2025.0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2025.0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2025.0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2025.0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2025.0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2025.0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2025.0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2025.0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2025.0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2025.0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2025.0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2025.0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2025.0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2025.0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2025.0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2025.0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2025.0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2025.0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2025.0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2025.0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2025.0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2025.0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2025.0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2025.0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2025.0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2025.0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2025.0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2025.0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2025.0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2025.0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2025.0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2025.0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2025.0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2025.0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2025.0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2025.0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2025.0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2025.0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2025.0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2025.0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2025.0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2025.0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2025.0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2025.0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2025.0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2025.0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2025.0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2025.0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2025.0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2025.0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2025.0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2025.0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2025.0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2025.0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2025.0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2025.0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2025.0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2025.0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2025.0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2025.0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2025.0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2025.0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2025.0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2025.0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2025.0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2025.0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2025.0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2025.0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2025.0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2025.0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2025.0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2025.0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2025.0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2025.0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2025.0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2025.0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2025.0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2025.0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2025.0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2025.0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2025.0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2025.0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2025.0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2025.0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2025.0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2025.0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2025.0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2025.0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2025.0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2025.0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2025.0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2025.0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2025.0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2025.0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2025.0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2025.0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2025.0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2025.0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2025.0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2025.0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2025.0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2025.0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2025.0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2025.0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2025.0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2025.0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2025.0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2025.0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2025.0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2025.0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2025.0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2025.0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2025.0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2025.0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2025.0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2025.0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2025.0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2025.0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2025.0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2025.0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2025.0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2025.0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2025.0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2025.0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2025.0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2025.0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2025.0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2025.0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2025.0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2025.0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2025.0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2025.0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2025.0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2025.0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2025.0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2025.0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2025.0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2025.0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2025.0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2025.0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2025.0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2025.0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2025.0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2025.0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2025.0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2025.0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2025.0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2025.0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2025.0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2025.0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2025.0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2025.0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2025.0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2025.0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2025.0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2025.0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2025.0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2025.0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2025.0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2025.0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2025.0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2025.0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2025.0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2025.0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2025.0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2025.0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2025.0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2025.0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2025.0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2025.0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2025.0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2025.0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2025.0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2025.0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2025.0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2025.0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2025.0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2025.0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2025.0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2025.0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2025.0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2025.0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2025.0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2025.0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2025.0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2025.0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2025.0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2025.0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2025.0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2025.0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2025.0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2025.0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2025.0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2025.0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2025.0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2025.0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2025.0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2025.0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2025.0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2025.0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2025.0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2025.0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2025.0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2025.0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2025.0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2025.0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2025.0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2025.0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2025.0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2025.0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2025.0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2025.0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2025.0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2025.0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2025.0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2025.0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2025.0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2025.0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2025.0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2025.0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2025.0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2025.0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2025.0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2025.0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2025.0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2025.0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2025.0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2025.0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2025.0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2025.0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2025.0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2025.0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2025.0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2025.0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2025.0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2025.0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2025.0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2025.0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2025.0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2025.0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2025.0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2025.0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2025.0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2025.0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2025.0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2025.0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2025.0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2025.0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2025.0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2025.0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2025.0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2025.0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2025.0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2025.0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2025.0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2025.0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2025.0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2025.0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2025.0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2025.0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2025.0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2025.0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2025.0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2025.0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2025.0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2025.0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2025.0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2025.0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2025.0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2025.0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2025.0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2025.0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2025.0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2025.0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2025.0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2025.0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2025.0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2025.0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2025.0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2025.0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2025.0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2025.0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2025.0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2025.0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2025.0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2025.0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2025.0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2025.0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2025.0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2025.0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2025.0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2025.0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2025.0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2025.0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2025.0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2025.0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2025.0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2025.0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2025.0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2025.0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2025.0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2025.0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2025.0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2025.0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2025.0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2025.0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2025.0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2025.0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2025.0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2025.0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2025.0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2025.0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2025.0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2025.0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2025.0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2025.0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2025.0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2025.0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2025.0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2025.0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2025.0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2025.0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2025.0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2025.0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2025.0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2025.0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2025.0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2025.0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2025.0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2025.0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2025.0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2025.0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2025.0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2025.0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2025.0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2025.0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2025.0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2025.0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2025.0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2025.0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2025.0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2025.0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2025.0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2025.0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2025.0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2025.0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2025.0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2025.0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2025.0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2025.0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2025.0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2025.0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2025.0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2025.0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2025.0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2025.0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2025.0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2025.0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2025.0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2025.0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2025.0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2025.0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2025.0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2025.0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2025.0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2025.0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2025.0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2025.0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2025.0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2025.0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2025.0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2025.0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2025.0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2025.0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2025.0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2025.0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2025.0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2025.0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2025.0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2025.0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2025.0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2025.0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2025.0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2025.0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2025.0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2025.0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2025.0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2025.0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2025.0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2025.0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2025.0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2025.0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2025.0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2025.0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2025.0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2025.0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2025.0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2025.0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2025.0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2025.0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2025.0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2025.0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2025.0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2025.0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2025.0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2025.0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2025.0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2025.0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2025.0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2025.0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2025.0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2025.0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2025.0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2025.0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2025.0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2025.0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2025.0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2025.0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2025.0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2025.0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2025.0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2025.0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2025.0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2025.0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2025.0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2025.0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2025.0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2025.0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2025.0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2025.0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2025.0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2025.0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2025.0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2025.0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2025.0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2025.0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2025.0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2025.0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2025.0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2025.0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2025.0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2025.0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2025.0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2025.0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2025.0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2025.0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2025.0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2025.0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2025.0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2025.0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2025.0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2025.0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2025.0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2025.0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2025.0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2025.0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2025.0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2025.0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2025.0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2025.0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2025.0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2025.0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2025.0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2025.0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2025.0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2025.0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2025.0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2025.0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2025.0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2025.0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2025.0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2025.0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2025.0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2025.0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2025.0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2025.0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2025.0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2025.0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2025.0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2025.0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2025.0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2025.0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2025.0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2025.0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2025.0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2025.0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2025.0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2025.0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2025.0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2025.0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2025.0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2025.0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2025.0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2025.0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2025.0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2025.0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2025.0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2025.0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2025.0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2025.0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2025.0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2025.0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2025.0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2025.0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2025.0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2025.0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2025.0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2025.0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2025.0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2025.0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2025.0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2025.0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2025.0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2025.0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2025.0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2025.0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2025.0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2025.0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2025.0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2025.0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2025.0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2025.0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2025.0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2025.0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2025.0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2025.0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2025.0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2025.0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2025.0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2025.0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2025.0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2025.0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2025.0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2025.0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2025.0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2025.0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2025.0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2025.0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2025.0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2025.0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2025.0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2025.0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2025.0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2025.0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2025.0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2025.0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2025.0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2025.0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2025.0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2025.0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2025.0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2025.0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2025.0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2025.0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2025.0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2025.0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2025.0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2025.0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2025.0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2025.0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2025.0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2025.0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2025.0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2025.0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2025.0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2025.0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2025.0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2025.0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2025.0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2025.0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2025.0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2025.0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2025.0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2025.0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2025.0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2025.0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2025.0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2025.0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2025.0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2025.0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2025.0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2025.0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2025.0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2025.0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2025.0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2025.0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2025.0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2025.0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2025.0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2025.0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2025.0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2025.0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2025.0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2025.0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2025.0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2025.0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2025.0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2025.0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2025.0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2025.0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2025.0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2025.0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2025.0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2025.0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2025.0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2025.0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2025.0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2025.0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2025.0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2025.0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2025.0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2025.0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2025.0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2025.0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2025.0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2025.0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2025.0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2025.0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2025.0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2025.0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2025.0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2025.0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2025.0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2025.0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2025.0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2025.0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2025.0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2025.0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2025.0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2025.0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2025.0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2025.0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2025.0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2025.0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2025.0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2025.0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2025.0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2025.0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2025.0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2025.0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2025.0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2025.0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2025.0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2025.0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2025.0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2025.0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2025.0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2025.0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2025.0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2025.0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2025.0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2025.0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2025.0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2025.0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2025.0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2025.0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2025.0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2025.0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2025.0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2025.0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2025.0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2025.0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2025.0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2025.0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2025.0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2025.0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2025.0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2025.0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2025.0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2025.0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2025.0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2025.0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2025.0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2025.0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2025.0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2025.0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2025.0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2025.0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2025.0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2025.0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2025.0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2025.0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2025.0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2025.0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2025.0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2025.0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2025.0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2025.0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2025.0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2025.0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2025.0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2025.0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2025.0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2025.0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2025.0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2025.0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2025.0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2025.0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2025.0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2025.0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2025.0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2025.0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2025.0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2025.0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2025.0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2025.0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2025.0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2025.0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2025.0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2025.0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2025.0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2025.0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2025.0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2025.0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2025.0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2025.0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2025.0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2025.0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2025.0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2025.0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2025.0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2025.0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2025.0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2025.0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2025.0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2025.0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2025.0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2025.0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2025.0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2025.0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2025.0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2025.0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2025.0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2025.0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2025.0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2025.0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2025.0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2025.0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2025.0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2025.0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2025.0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2025.0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2025.0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2025.0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2025.0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2025.0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2025.0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2025.0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2025.0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2025.0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2025.0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2025.0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2025.0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2025.0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2025.0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2025.0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2025.0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2025.0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2025.0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2025.0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2025.0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2025.0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2025.0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2025.0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2025.0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2025.0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2025.0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2025.0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2025.0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2025.0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2025.0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2025.0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2025.0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2025.0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2025.0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2025.0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2025.0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2025.0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2025.0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2025.0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2025.0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2025.0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2025.0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2025.0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2025.0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2025.0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2025.0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2025.0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2025.0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2025.0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2025.0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2025.0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2025.0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2025.0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2025.0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2025.0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2025.0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2025.0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2025.0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2025.0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2025.0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2025.0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2025.0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2025.0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2025.0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2025.0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2025.0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2025.0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2025.0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2025.0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2025.0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2025.0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2025.0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2025.0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2025.0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2025.0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2025.0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2025.0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2025.0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2025.0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2025.0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2025.0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2025.0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2025.0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2025.0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2025.0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2025.0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2025.0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2025.0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2025.0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2025.0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2025.0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2025.0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2025.0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2025.0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2025.0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2025.0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2025.0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2025.0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2025.0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2025.0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2025.0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2025.0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2025.0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2025.0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2025.0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2025.0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2025.0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2025.0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2025.0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2025.0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2025.0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2025.0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2025.0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2025.0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2025.0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2025.0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2025.0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2025.0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2025.0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2025.0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2025.0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2025.0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2025.0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2025.0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2025.0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2025.0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2025.0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2025.0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2025.0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2025.0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2025.0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2025.0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2025.0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2025.0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2025.0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2025.0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2025.0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2025.0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2025.0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2025.0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2025.0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2025.0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2025.0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2025.0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2025.0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2025.0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2025.0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2025.0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2025.0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2025.0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2025.0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2025.0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2025.0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2025.0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2025.0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2025.0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2025.0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2025.0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2025.0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2025.0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2025.0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2025.0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2025.0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2025.0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2025.0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2025.0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2025.0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2025.0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2025.0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2025.0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2025.0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2025.0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2025.0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2025.0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2025.0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2025.0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2025.0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2025.0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2025.0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2025.0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2025.0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2025.0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2025.0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2025.0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2025.0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2025.0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2025.0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2025.0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2025.0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2025.0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2025.0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2025.0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2025.0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2025.0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2025.0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2025.0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2025.0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2025.0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2025.0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2025.0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2025.0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2025.0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2025.0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2025.0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2025.0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2025.0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2025.0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2025.0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2025.0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2025.0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2025.0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2025.0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2025.0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2025.0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2025.0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2025.0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2025.0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2025.0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2025.0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2025.0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2025.0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2025.0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2025.0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2025.0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2025.0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2025.0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2025.0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2025.0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2025.0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2025.0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2025.0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2025.0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2025.0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2025.0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2025.0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2025.0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2025.0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2025.0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2025.0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2025.0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2025.0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2025.0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2025.0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2025.0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2025.0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2025.0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2025.0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2025.0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2025.0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2025.0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2025.0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2025.0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2025.0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2025.0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2025.0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2025.0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2025.0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2025.0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2025.0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2025.0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2025.0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2025.0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2025.0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2025.0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2025.0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2025.0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2025.0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2025.0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2025.0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2025.0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2025.0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2025.0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2025.0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2025.0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2025.0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2025.0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2025.0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2025.0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2025.0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2025.0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2025.0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2025.0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2025.0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2025.0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2025.0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2025.0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2025.0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2025.0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2025.0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2025.0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2025.0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2025.0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2025.0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2025.0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2025.0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2025.0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2025.0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2025.0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2025.0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2025.0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2025.0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2025.0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2025.0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2025.0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2025.0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2025.0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2025.0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2025.0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2025.0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2025.0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2025.0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2025.0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2025.0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2025.0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2025.0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2025.0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2025.0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2025.0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2025.0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2025.0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2025.0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2025.0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2025.0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2025.0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2025.0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2025.0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2025.0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2025.0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2025.0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2025.0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2025.0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2025.0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2025.0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2025.0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2025.0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2025.0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2025.0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2025.0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2025.0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2025.0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2025.0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2025.0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2025.0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2025.0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2025.0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2025.0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2025.0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2025.0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2025.0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2025.0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2025.0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2025.0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2025.0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2025.0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2025.0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2025.0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2025.0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2025.0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2025.0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2025.0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2025.0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2025.0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2025.0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2025.0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2025.0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2025.0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2025.0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2025.0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2025.0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2025.0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2025.0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2025.0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2025.0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2025.0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2025.0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2025.0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2025.0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2025.0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2025.0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2025.0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2025.0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2025.0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2025.0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2025.0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2025.0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2025.0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2025.0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2025.0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2025.0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2025.0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2025.0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2025.0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2025.0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2025.0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2025.0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2025.0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2025.0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2025.0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2025.0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2025.0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2025.0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2025.0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2025.0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2025.0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2025.0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2025.0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2025.0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2025.0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2025.0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2025.0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2025.0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2025.0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2025.0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2025.0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2025.0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2025.0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2025.0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2025.0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2025.0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2025.0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2025.0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2025.0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2025.0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2025.0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2025.0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2025.0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2025.0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2025.0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2025.0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2025.0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2025.0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2025.0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2025.0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2025.0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2025.0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2025.0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2025.0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2025.0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2025.0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2025.0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2025.0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2025.0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2025.0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2025.0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2025.0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2025.0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2025.0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2025.0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2025.0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2025.0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2025.0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2025.0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2025.0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2025.0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2025.0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2025.0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2025.0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2025.0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2025.0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2025.0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2025.0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2025.0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2025.0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2025.0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2025.0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2025.0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2025.0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2025.0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2025.0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2025.0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2025.0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2025.0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2025.0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2025.0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2025.0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2025.0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2025.0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2025.0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2025.0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2025.0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2025.0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2025.0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2025.0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2025.0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2025.0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2025.0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2025.0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2025.0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2025.0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2025.0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2025.0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2025.0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2025.0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2025.0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2025.0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2025.0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2025.0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2025.0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2025.0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2025.0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2025.0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2025.0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2025.0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2025.0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2025.0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2025.0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2025.0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2025.0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2025.0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2025.0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2025.0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2025.0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2025.0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2025.0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2025.0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2025.0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2025.0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2025.0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2025.0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2025.0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2025.0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2025.0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2025.0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2025.0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2025.0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2025.0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1" t="s">
        <v>2951</v>
      </c>
    </row>
    <row r="3">
      <c r="A3" s="1" t="s">
        <v>2952</v>
      </c>
      <c r="B3" s="2">
        <f>COUNTA(European_Bank!B2:B10001)</f>
        <v>10000</v>
      </c>
    </row>
    <row r="4">
      <c r="A4" s="1" t="s">
        <v>2953</v>
      </c>
      <c r="B4" s="2">
        <f>SUM(European_Bank!N2:N10001)</f>
        <v>2037</v>
      </c>
    </row>
    <row r="5">
      <c r="A5" s="1" t="s">
        <v>2954</v>
      </c>
      <c r="B5" s="3">
        <f>B4/B3</f>
        <v>0.2037</v>
      </c>
    </row>
    <row r="6">
      <c r="A6" s="1" t="s">
        <v>2955</v>
      </c>
      <c r="B6" s="4">
        <f>B3-B4</f>
        <v>7963</v>
      </c>
    </row>
    <row r="7">
      <c r="A7" s="1" t="s">
        <v>2956</v>
      </c>
      <c r="B7" s="2">
        <f>AVERAGE(European_Bank!D2:D10001)</f>
        <v>650.5288</v>
      </c>
    </row>
    <row r="8">
      <c r="A8" s="1" t="s">
        <v>2957</v>
      </c>
      <c r="B8" s="2">
        <f>AVERAGE(European_Bank!G2:G10001)</f>
        <v>38.9218</v>
      </c>
    </row>
    <row r="9">
      <c r="A9" s="1" t="s">
        <v>2958</v>
      </c>
      <c r="B9" s="2">
        <f>AVERAGE(European_Bank!I2:I10001)</f>
        <v>76485.88929</v>
      </c>
    </row>
    <row r="10">
      <c r="A10" s="1" t="s">
        <v>2959</v>
      </c>
      <c r="B10" s="2">
        <f>AVERAGE(European_Bank!M2:M10001)</f>
        <v>100090.2399</v>
      </c>
    </row>
    <row r="11">
      <c r="A11" s="1" t="s">
        <v>2960</v>
      </c>
      <c r="B11" s="2">
        <f>AVERAGE((European_Bank!H2:H10001))</f>
        <v>5.0128</v>
      </c>
    </row>
    <row r="12">
      <c r="A12" s="1" t="s">
        <v>2961</v>
      </c>
      <c r="B12" s="2">
        <f>AVERAGE(European_Bank!J2:J10001)</f>
        <v>1.5302</v>
      </c>
    </row>
    <row r="13">
      <c r="A13" s="1" t="s">
        <v>2962</v>
      </c>
      <c r="B13" s="2">
        <f>SUM(European_Bank!L2:L10001)</f>
        <v>5151</v>
      </c>
    </row>
    <row r="14">
      <c r="A14" s="1" t="s">
        <v>2963</v>
      </c>
      <c r="B14" s="2">
        <f>SUM(European_Bank!K2:K10001)</f>
        <v>7055</v>
      </c>
    </row>
    <row r="15">
      <c r="A15" s="1" t="s">
        <v>2964</v>
      </c>
    </row>
    <row r="16">
      <c r="A16" s="1" t="s">
        <v>2965</v>
      </c>
      <c r="B16" s="2">
        <f>COUNTIF(European_Bank!E2:E10001,"France")</f>
        <v>5014</v>
      </c>
    </row>
    <row r="17">
      <c r="A17" s="1" t="s">
        <v>26</v>
      </c>
      <c r="B17" s="2">
        <f>COUNTIF(European_Bank!E2:E10001,"Germany")</f>
        <v>2509</v>
      </c>
    </row>
    <row r="18">
      <c r="A18" s="1" t="s">
        <v>18</v>
      </c>
      <c r="B18" s="2">
        <f>COUNTIF(European_Bank!E2:E10001,"Spain")</f>
        <v>2477</v>
      </c>
    </row>
    <row r="19">
      <c r="A19" s="1" t="s">
        <v>2966</v>
      </c>
    </row>
    <row r="20">
      <c r="A20" s="1" t="s">
        <v>16</v>
      </c>
      <c r="B20" s="2">
        <f>COUNTIF(European_Bank!F2:F10001,"Female")</f>
        <v>4543</v>
      </c>
    </row>
    <row r="21">
      <c r="A21" s="1" t="s">
        <v>23</v>
      </c>
      <c r="B21" s="2">
        <f>COUNTIF(European_Bank!F2:F10001,"Male")</f>
        <v>5457</v>
      </c>
    </row>
    <row r="22">
      <c r="A22" s="1" t="s">
        <v>2967</v>
      </c>
    </row>
    <row r="23">
      <c r="A23" s="1" t="s">
        <v>2968</v>
      </c>
      <c r="B23" s="2">
        <f>SUMPRODUCT(European_Bank!L2:L10001,European_Bank!N2:N10001)</f>
        <v>735</v>
      </c>
    </row>
    <row r="24">
      <c r="A24" s="1" t="s">
        <v>2969</v>
      </c>
      <c r="B24" s="2">
        <f>SUM(European_Bank!L2:L10001)</f>
        <v>5151</v>
      </c>
    </row>
    <row r="25">
      <c r="A25" s="1" t="s">
        <v>2970</v>
      </c>
      <c r="B25" s="3">
        <f>B23/B24</f>
        <v>0.1426907397</v>
      </c>
    </row>
    <row r="26">
      <c r="A26" s="1" t="s">
        <v>2971</v>
      </c>
    </row>
    <row r="27">
      <c r="A27" s="1" t="s">
        <v>2965</v>
      </c>
      <c r="B27" s="2">
        <f>COUNTIFS(European_Bank!E2:E10001,"France",European_Bank!N2:N10001,1)</f>
        <v>810</v>
      </c>
    </row>
    <row r="28">
      <c r="A28" s="1" t="s">
        <v>26</v>
      </c>
      <c r="B28" s="2">
        <f>COUNTIFS(European_Bank!E2:E10001,"Germany",European_Bank!N2:N10001,1)</f>
        <v>814</v>
      </c>
    </row>
    <row r="29">
      <c r="A29" s="1" t="s">
        <v>18</v>
      </c>
      <c r="B29" s="2">
        <f>COUNTIFS(European_Bank!E2:E10001,"Spain",European_Bank!N2:N10001,1)</f>
        <v>413</v>
      </c>
    </row>
    <row r="30">
      <c r="A30" s="1" t="s">
        <v>2972</v>
      </c>
    </row>
    <row r="31">
      <c r="A31" s="1" t="s">
        <v>2965</v>
      </c>
      <c r="B31" s="3">
        <f t="shared" ref="B31:B33" si="1">B27/B16</f>
        <v>0.1615476665</v>
      </c>
    </row>
    <row r="32">
      <c r="A32" s="1" t="s">
        <v>26</v>
      </c>
      <c r="B32" s="3">
        <f t="shared" si="1"/>
        <v>0.3244320446</v>
      </c>
    </row>
    <row r="33">
      <c r="A33" s="1" t="s">
        <v>18</v>
      </c>
      <c r="B33" s="3">
        <f t="shared" si="1"/>
        <v>0.1667339524</v>
      </c>
    </row>
    <row r="34">
      <c r="A34" s="1" t="s">
        <v>2973</v>
      </c>
    </row>
    <row r="35">
      <c r="A35" s="1" t="s">
        <v>16</v>
      </c>
      <c r="B35" s="3">
        <f>COUNTIFS(European_Bank!F2:F10001,"Female",European_Bank!N2:N10001,1)/B20</f>
        <v>0.2507153863</v>
      </c>
    </row>
    <row r="36">
      <c r="A36" s="1" t="s">
        <v>23</v>
      </c>
      <c r="B36" s="3">
        <f>COUNTIFS(European_Bank!F2:F10001,"Male",European_Bank!N2:N10001,1)/B21</f>
        <v>0.1645592817</v>
      </c>
    </row>
    <row r="37">
      <c r="A37" s="1" t="s">
        <v>2974</v>
      </c>
    </row>
    <row r="38">
      <c r="A38" s="1" t="s">
        <v>2975</v>
      </c>
      <c r="B38" s="2">
        <f>SUMPRODUCT((European_Bank!L2:L10001=0)*European_Bank!N2:N10001)</f>
        <v>1302</v>
      </c>
    </row>
    <row r="39">
      <c r="A39" s="1" t="s">
        <v>2976</v>
      </c>
      <c r="B39" s="2">
        <f>COUNTIF(European_Bank!L2:L10001,0)</f>
        <v>4849</v>
      </c>
    </row>
    <row r="40">
      <c r="A40" s="1" t="s">
        <v>2977</v>
      </c>
      <c r="B40" s="3">
        <f>B38/B39</f>
        <v>0.2685089709</v>
      </c>
    </row>
    <row r="41">
      <c r="A41" s="1" t="s">
        <v>2978</v>
      </c>
    </row>
    <row r="42">
      <c r="A42" s="1" t="s">
        <v>2979</v>
      </c>
      <c r="B42" s="2">
        <f>COUNTIFS(European_Bank!J2:J10001,1,European_Bank!N2:N10001,1)</f>
        <v>1409</v>
      </c>
    </row>
    <row r="43">
      <c r="A43" s="1" t="s">
        <v>2980</v>
      </c>
      <c r="B43" s="2">
        <f>COUNTIFS(European_Bank!J2:J10001,2,European_Bank!N2:N10001,1)</f>
        <v>348</v>
      </c>
    </row>
    <row r="44">
      <c r="A44" s="1" t="s">
        <v>2981</v>
      </c>
      <c r="B44" s="2">
        <f>COUNTIFS(European_Bank!J2:J10001,3,European_Bank!N2:N10001,1)</f>
        <v>220</v>
      </c>
    </row>
    <row r="45">
      <c r="A45" s="1" t="s">
        <v>2982</v>
      </c>
      <c r="B45" s="2">
        <f>COUNTIFS(European_Bank!J2:J10001,4,European_Bank!N2:N10001,1)</f>
        <v>60</v>
      </c>
    </row>
    <row r="46">
      <c r="A46" s="1" t="s">
        <v>2983</v>
      </c>
    </row>
    <row r="47">
      <c r="A47" s="1" t="s">
        <v>2979</v>
      </c>
      <c r="B47" s="3">
        <f>B42/COUNTIF(European_Bank!J2:J10001,1)</f>
        <v>0.2771439811</v>
      </c>
    </row>
    <row r="48">
      <c r="A48" s="1" t="s">
        <v>2980</v>
      </c>
      <c r="B48" s="3">
        <f>B43/COUNTIF(European_Bank!J3:J10002,1)</f>
        <v>0.0684635058</v>
      </c>
    </row>
    <row r="49">
      <c r="A49" s="1" t="s">
        <v>2981</v>
      </c>
      <c r="B49" s="3">
        <f>B44/COUNTIF(European_Bank!J4:J10003,1)</f>
        <v>0.04329004329</v>
      </c>
    </row>
    <row r="50">
      <c r="A50" s="1" t="s">
        <v>2982</v>
      </c>
      <c r="B50" s="3">
        <f>B45/COUNTIF(European_Bank!J5:J10004,1)</f>
        <v>0.01180637544</v>
      </c>
    </row>
    <row r="51">
      <c r="A51" s="1" t="s">
        <v>2984</v>
      </c>
    </row>
    <row r="52">
      <c r="A52" s="1" t="s">
        <v>2985</v>
      </c>
      <c r="B52" s="2">
        <f>SUMPRODUCT((European_Bank!K2:K10001=1)*(European_Bank!N2:Z10001=1))</f>
        <v>1424</v>
      </c>
    </row>
    <row r="53">
      <c r="A53" s="1" t="s">
        <v>2986</v>
      </c>
      <c r="B53" s="2">
        <f>SUM(European_Bank!K2:K10001)</f>
        <v>7055</v>
      </c>
    </row>
    <row r="54">
      <c r="A54" s="1" t="s">
        <v>2987</v>
      </c>
      <c r="B54" s="3">
        <f>B52/B53</f>
        <v>0.2018426648</v>
      </c>
    </row>
    <row r="55">
      <c r="A55" s="1" t="s">
        <v>2988</v>
      </c>
    </row>
    <row r="56">
      <c r="A56" s="1" t="s">
        <v>2989</v>
      </c>
      <c r="B56" s="1">
        <v>148.0</v>
      </c>
    </row>
    <row r="57">
      <c r="A57" s="1" t="s">
        <v>2990</v>
      </c>
      <c r="B57" s="2">
        <f>COUNTIFS(European_Bank!G3:G10002,"&gt;=31",European_Bank!G3:G10002,"&lt;=40",European_Bank!N3:N10002,1)</f>
        <v>538</v>
      </c>
    </row>
    <row r="58">
      <c r="A58" s="1" t="s">
        <v>2991</v>
      </c>
      <c r="B58" s="2">
        <f>COUNTIFS(European_Bank!G4:G10003,"&gt;=41",European_Bank!G4:G10003,"&lt;=50",European_Bank!N4:N10003,1)</f>
        <v>787</v>
      </c>
    </row>
    <row r="59">
      <c r="A59" s="1" t="s">
        <v>2992</v>
      </c>
      <c r="B59" s="2">
        <f>COUNTIFS(European_Bank!G5:G10004,"&gt;=51",European_Bank!G5:G10004,"&lt;=60",European_Bank!N5:N10004,1)</f>
        <v>448</v>
      </c>
    </row>
    <row r="60">
      <c r="A60" s="1" t="s">
        <v>2993</v>
      </c>
      <c r="B60" s="2">
        <f>COUNTIFS(European_Bank!G6:G10005,"&gt;=61",European_Bank!G6:G10005,"&gt;=61",European_Bank!N6:N10005,1)</f>
        <v>115</v>
      </c>
    </row>
    <row r="61">
      <c r="A61" s="1" t="s">
        <v>2994</v>
      </c>
    </row>
    <row r="62">
      <c r="A62" s="1" t="s">
        <v>2989</v>
      </c>
      <c r="B62" s="3">
        <f>B56/COUNTIFS(European_Bank!G2:G10001,"&gt;=18",European_Bank!G2:G10001,"&lt;=30")</f>
        <v>0.07520325203</v>
      </c>
    </row>
    <row r="63">
      <c r="A63" s="1" t="s">
        <v>2990</v>
      </c>
      <c r="B63" s="3">
        <f>B57/COUNTIFS(European_Bank!G3:G10002,"&gt;=18",European_Bank!G3:G10002,"&lt;=30")</f>
        <v>0.2733739837</v>
      </c>
    </row>
    <row r="64">
      <c r="A64" s="1" t="s">
        <v>2991</v>
      </c>
      <c r="B64" s="3">
        <f>B58/COUNTIFS(European_Bank!G4:G10003,"&gt;=41",European_Bank!G4:G10003,"&lt;=50")</f>
        <v>0.3395168248</v>
      </c>
    </row>
    <row r="65">
      <c r="A65" s="1" t="s">
        <v>2992</v>
      </c>
      <c r="B65" s="3">
        <f>B59/COUNTIFS(European_Bank!G5:G10004,"&gt;=51",European_Bank!G5:G10004,"&lt;=60")</f>
        <v>0.5621079046</v>
      </c>
    </row>
    <row r="66">
      <c r="A66" s="1" t="s">
        <v>2993</v>
      </c>
      <c r="B66" s="3">
        <f>B60/COUNTIFS(European_Bank!G5:G10005,"&gt;=61")</f>
        <v>0.2478448276</v>
      </c>
    </row>
    <row r="67">
      <c r="A67" s="1" t="s">
        <v>2995</v>
      </c>
    </row>
    <row r="68">
      <c r="A68" s="1" t="s">
        <v>2996</v>
      </c>
      <c r="B68" s="2">
        <f>COUNTIFS(European_Bank!H2:H10001,"&gt;=0",European_Bank!H2:H10001,"&lt;=2",European_Bank!N2:N10001,1)</f>
        <v>528</v>
      </c>
    </row>
    <row r="69">
      <c r="A69" s="1" t="s">
        <v>2997</v>
      </c>
      <c r="B69" s="2">
        <f>COUNTIFS(European_Bank!H3:H10002,"&gt;=3",European_Bank!H3:H10002,"&lt;=5",European_Bank!N3:N10002,1)</f>
        <v>625</v>
      </c>
    </row>
    <row r="70">
      <c r="A70" s="1" t="s">
        <v>2998</v>
      </c>
      <c r="B70" s="2">
        <f>COUNTIFS(European_Bank!H4:H10003,"&gt;=6",European_Bank!H4:H10003,"&lt;=8",European_Bank!N4:N10003,1)</f>
        <v>570</v>
      </c>
    </row>
    <row r="71">
      <c r="A71" s="1" t="s">
        <v>2999</v>
      </c>
      <c r="B71" s="2">
        <f>COUNTIFS(European_Bank!H5:H10004,"&gt;=9",European_Bank!H5:H10004,"&lt;=10",European_Bank!N5:N10004,1)</f>
        <v>314</v>
      </c>
    </row>
    <row r="72">
      <c r="A72" s="1" t="s">
        <v>3000</v>
      </c>
    </row>
    <row r="73">
      <c r="A73" s="1" t="s">
        <v>2996</v>
      </c>
      <c r="B73" s="3">
        <f>B68/COUNTIFS(European_Bank!H2:H10001,"&gt;=0",European_Bank!H2:H10001,"&lt;=2")</f>
        <v>0.2115384615</v>
      </c>
    </row>
    <row r="74">
      <c r="A74" s="1" t="s">
        <v>2997</v>
      </c>
      <c r="B74" s="3">
        <f>B69/COUNTIFS(European_Bank!H3:H10002,"&gt;=0",European_Bank!H3:H10002,"&lt;=2")</f>
        <v>0.250501002</v>
      </c>
    </row>
    <row r="75">
      <c r="A75" s="1" t="s">
        <v>2998</v>
      </c>
      <c r="B75" s="3">
        <f>B70/COUNTIFS(European_Bank!H4:H10003,"&gt;=0",European_Bank!H4:H10003,"&lt;=2")</f>
        <v>0.2285485164</v>
      </c>
    </row>
    <row r="76">
      <c r="A76" s="1" t="s">
        <v>2999</v>
      </c>
      <c r="B76" s="3">
        <f>B71/COUNTIFS(European_Bank!H5:H10004,"&gt;=0",European_Bank!H5:H10004,"&lt;=2")</f>
        <v>0.1259021652</v>
      </c>
    </row>
    <row r="77">
      <c r="A77" s="1" t="s">
        <v>3001</v>
      </c>
    </row>
    <row r="78">
      <c r="A78" s="1" t="s">
        <v>3002</v>
      </c>
      <c r="B78" s="2">
        <f>COUNTIFS(European_Bank!D2:D10001,"&gt;=300",European_Bank!D2:D10001,"&lt;=500",European_Bank!N2:N10001,1)</f>
        <v>152</v>
      </c>
    </row>
    <row r="79">
      <c r="A79" s="1" t="s">
        <v>3003</v>
      </c>
      <c r="B79" s="2">
        <f>COUNTIFS(European_Bank!D3:D10002,"&gt;=501",European_Bank!D3:D10002,"&lt;=600",European_Bank!N3:N10002,1)</f>
        <v>513</v>
      </c>
    </row>
    <row r="80">
      <c r="A80" s="1" t="s">
        <v>3004</v>
      </c>
      <c r="B80" s="2">
        <f>COUNTIFS(European_Bank!D4:D10003,"&gt;=601",European_Bank!D4:D10003,"&lt;=700",European_Bank!N4:N10003,1)</f>
        <v>752</v>
      </c>
    </row>
    <row r="81">
      <c r="A81" s="1" t="s">
        <v>3005</v>
      </c>
      <c r="B81" s="2">
        <f>COUNTIFS(European_Bank!D5:D10004,"&gt;=701",European_Bank!D5:D10004,"&lt;=800",European_Bank!N5:N10004,1)</f>
        <v>492</v>
      </c>
    </row>
    <row r="82">
      <c r="A82" s="1" t="s">
        <v>3006</v>
      </c>
      <c r="B82" s="2">
        <f>COUNTIFS(European_Bank!D6:D10005,"&gt;=801",European_Bank!D6:D10005,"&lt;=850",European_Bank!N6:N10005,1)</f>
        <v>127</v>
      </c>
    </row>
    <row r="83">
      <c r="A83" s="1" t="s">
        <v>3007</v>
      </c>
      <c r="B83" s="2">
        <f>COUNTIFS(European_Bank!D2:D10001,"&gt;=851",European_Bank!D2:D10001,"&lt;=900",European_Bank!N2:N10001,1)</f>
        <v>0</v>
      </c>
    </row>
    <row r="84">
      <c r="A84" s="1" t="s">
        <v>3008</v>
      </c>
    </row>
    <row r="85">
      <c r="A85" s="1" t="s">
        <v>3002</v>
      </c>
      <c r="B85" s="3">
        <f>B78/COUNTIFS(European_Bank!D2:D10001,"&gt;=300",European_Bank!D2:D10001,"&lt;=500")</f>
        <v>0.2363919129</v>
      </c>
    </row>
    <row r="86">
      <c r="A86" s="1" t="s">
        <v>3003</v>
      </c>
      <c r="B86" s="3">
        <f>B79/COUNTIFS(European_Bank!D3:D10002,"&gt;=300",European_Bank!D3:D10002,"&lt;=500")</f>
        <v>0.7978227061</v>
      </c>
    </row>
    <row r="87">
      <c r="A87" s="1" t="s">
        <v>3004</v>
      </c>
      <c r="B87" s="3">
        <f>B80/COUNTIFS(European_Bank!D4:D10003,"&gt;=300",European_Bank!D4:D10003,"&lt;=500")</f>
        <v>1.169517885</v>
      </c>
    </row>
    <row r="88">
      <c r="A88" s="1" t="s">
        <v>3005</v>
      </c>
      <c r="B88" s="3">
        <f>B81/COUNTIFS(European_Bank!D5:D10004,"&gt;=300",European_Bank!D5:D10004,"&lt;=500")</f>
        <v>0.765163297</v>
      </c>
    </row>
    <row r="89">
      <c r="A89" s="1" t="s">
        <v>3006</v>
      </c>
      <c r="B89" s="3">
        <f>B82/COUNTIFS(European_Bank!D6:D10005,"&gt;=300",European_Bank!D6:D10005,"&lt;=500")</f>
        <v>0.1975116641</v>
      </c>
    </row>
    <row r="90">
      <c r="A90" s="1" t="s">
        <v>3007</v>
      </c>
      <c r="B90" s="3">
        <f>B83/COUNTIFS(European_Bank!D7:D10006,"&gt;=300",European_Bank!D7:D10006,"&lt;=500")</f>
        <v>0</v>
      </c>
    </row>
    <row r="91">
      <c r="A91" s="1" t="s">
        <v>3009</v>
      </c>
    </row>
    <row r="92">
      <c r="A92" s="1" t="s">
        <v>3010</v>
      </c>
      <c r="B92" s="2">
        <f>COUNTIFS(European_Bank!I2:I10001,"&gt;=0",European_Bank!I2:I10001,"&lt;=25000",European_Bank!N2:N10001,1)</f>
        <v>504</v>
      </c>
    </row>
    <row r="93">
      <c r="A93" s="1" t="s">
        <v>3011</v>
      </c>
      <c r="B93" s="2">
        <f>COUNTIFS(European_Bank!I3:I10002,"&gt;=25001",European_Bank!I3:I10002,"&lt;=50000",European_Bank!N3:N10002,1)</f>
        <v>22</v>
      </c>
    </row>
    <row r="94">
      <c r="A94" s="1" t="s">
        <v>3012</v>
      </c>
      <c r="B94" s="2">
        <f>COUNTIFS(European_Bank!I4:I10003,"&gt;=50001",European_Bank!I4:I10003,"&lt;=70000",European_Bank!N4:N10003,1)</f>
        <v>55</v>
      </c>
    </row>
    <row r="95">
      <c r="A95" s="1" t="s">
        <v>3013</v>
      </c>
      <c r="B95" s="2">
        <f>COUNTIFS(European_Bank!I5:I10004,"&gt;=75001",European_Bank!I5:I10004,"&lt;=100000",European_Bank!N5:N10004,1)</f>
        <v>225</v>
      </c>
    </row>
    <row r="96">
      <c r="A96" s="1" t="s">
        <v>3014</v>
      </c>
      <c r="B96" s="2">
        <f>COUNTIFS(European_Bank!I6:I10005,"&gt;=100001",European_Bank!I6:I10005,"&lt;=150000",European_Bank!N6:N10005,1)</f>
        <v>987</v>
      </c>
    </row>
    <row r="97">
      <c r="A97" s="1" t="s">
        <v>3015</v>
      </c>
      <c r="B97" s="2">
        <f>COUNTIFS(European_Bank!I2:I10001,"&gt;=150001",European_Bank!N2:N10001,1)</f>
        <v>224</v>
      </c>
    </row>
    <row r="98">
      <c r="A98" s="1" t="s">
        <v>3016</v>
      </c>
    </row>
    <row r="99">
      <c r="A99" s="1" t="s">
        <v>3010</v>
      </c>
      <c r="B99" s="3">
        <f>B92/COUNTIFS(European_Bank!I2:I10001,"&gt;=0",European_Bank!I2:I10001,"&lt;=25000")</f>
        <v>0.1391112338</v>
      </c>
    </row>
    <row r="100">
      <c r="A100" s="1" t="s">
        <v>3017</v>
      </c>
      <c r="B100" s="3">
        <f>B93/COUNTIFS(European_Bank!I3:I10002,"&gt;=25001",European_Bank!I3:I10002,"&lt;=75000")</f>
        <v>0.05263157895</v>
      </c>
    </row>
    <row r="101">
      <c r="A101" s="1" t="s">
        <v>3013</v>
      </c>
      <c r="B101" s="3">
        <f>B95/COUNTIFS(European_Bank!I4:I10003,"&gt;=75001",European_Bank!I4:I10003,"&lt;=100000")</f>
        <v>0.1941328732</v>
      </c>
    </row>
    <row r="102">
      <c r="A102" s="1" t="s">
        <v>3014</v>
      </c>
      <c r="B102" s="3">
        <f>B96/COUNTIFS(European_Bank!I5:I10004,"&gt;=100001",European_Bank!I5:I10004,"&lt;=150000")</f>
        <v>0.2577023499</v>
      </c>
    </row>
    <row r="103">
      <c r="A103" s="1" t="s">
        <v>3015</v>
      </c>
      <c r="B103" s="3">
        <f>B96/COUNTIFS(European_Bank!I6:I10005,"&gt;=0",European_Bank!I6:I10005,"&lt;=25000")</f>
        <v>0.2725766363</v>
      </c>
    </row>
    <row r="104">
      <c r="A104" s="1" t="s">
        <v>3018</v>
      </c>
    </row>
    <row r="105">
      <c r="A105" s="1" t="s">
        <v>3019</v>
      </c>
      <c r="B105" s="2">
        <f>COUNTIFS(European_Bank!M2:M10001,"&gt;=0",European_Bank!M2:M10001,"&lt;=50000",European_Bank!N2:N10001,1)</f>
        <v>489</v>
      </c>
    </row>
    <row r="106">
      <c r="A106" s="1" t="s">
        <v>3020</v>
      </c>
      <c r="B106" s="2">
        <f>COUNTIFS(European_Bank!M3:M10002,"&gt;=50001",European_Bank!M3:M10002,"&lt;=100000",European_Bank!N3:N10002,1)</f>
        <v>504</v>
      </c>
    </row>
    <row r="107">
      <c r="A107" s="1" t="s">
        <v>3014</v>
      </c>
      <c r="B107" s="2">
        <f>COUNTIFS(European_Bank!M4:M10003,"&gt;=100001",European_Bank!M4:M10003,"&lt;=150000",European_Bank!N4:N10003,1)</f>
        <v>516</v>
      </c>
    </row>
    <row r="108">
      <c r="A108" s="1" t="s">
        <v>3015</v>
      </c>
      <c r="B108" s="2">
        <f>COUNTIFS(European_Bank!M2:M10001,"&gt;=150001",European_Bank!N2:N10001,1)</f>
        <v>527</v>
      </c>
    </row>
    <row r="109">
      <c r="A109" s="1" t="s">
        <v>3021</v>
      </c>
    </row>
    <row r="110">
      <c r="A110" s="1" t="s">
        <v>3019</v>
      </c>
      <c r="B110" s="3">
        <f>B105/COUNTIFS(European_Bank!M2:M10001,"&gt;=0",European_Bank!M2:M10001,"&lt;=50000")</f>
        <v>0.1993477375</v>
      </c>
    </row>
    <row r="111">
      <c r="A111" s="1" t="s">
        <v>3020</v>
      </c>
      <c r="B111" s="3">
        <f>B106/COUNTIFS(European_Bank!M3:M10002,"&gt;=50001",European_Bank!M3:M10002,"&lt;=100000")</f>
        <v>0.1986598345</v>
      </c>
    </row>
    <row r="112">
      <c r="A112" s="1" t="s">
        <v>3014</v>
      </c>
      <c r="B112" s="3">
        <f>B107/COUNTIFS(European_Bank!M4:M10003,"&gt;=100001",European_Bank!M4:M10003,"&lt;=150000")</f>
        <v>0.2021151586</v>
      </c>
    </row>
    <row r="113">
      <c r="A113" s="1" t="s">
        <v>3015</v>
      </c>
      <c r="B113" s="5">
        <f>B108/COUNTIFS(European_Bank!M2:M10001,"&gt;=150001")</f>
        <v>0.2146639511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" t="s">
        <v>3022</v>
      </c>
    </row>
    <row r="3">
      <c r="A3" s="1" t="s">
        <v>3023</v>
      </c>
      <c r="B3" s="1" t="s">
        <v>2954</v>
      </c>
    </row>
    <row r="4">
      <c r="A4" s="1" t="s">
        <v>2965</v>
      </c>
      <c r="B4" s="3">
        <f>'Customer Analysis'!B31</f>
        <v>0.1615476665</v>
      </c>
    </row>
    <row r="5">
      <c r="A5" s="1" t="s">
        <v>26</v>
      </c>
      <c r="B5" s="3">
        <f>'Customer Analysis'!B32</f>
        <v>0.3244320446</v>
      </c>
    </row>
    <row r="6">
      <c r="A6" s="1" t="s">
        <v>18</v>
      </c>
      <c r="B6" s="3">
        <f>'Customer Analysis'!B33</f>
        <v>0.1667339524</v>
      </c>
    </row>
    <row r="19">
      <c r="A19" s="1" t="s">
        <v>3024</v>
      </c>
      <c r="B19" s="1" t="s">
        <v>2954</v>
      </c>
    </row>
    <row r="20">
      <c r="A20" s="1" t="s">
        <v>16</v>
      </c>
      <c r="B20" s="3">
        <f>'Customer Analysis'!B35</f>
        <v>0.2507153863</v>
      </c>
    </row>
    <row r="21">
      <c r="A21" s="1" t="s">
        <v>3025</v>
      </c>
      <c r="B21" s="3">
        <f>'Customer Analysis'!B36</f>
        <v>0.1645592817</v>
      </c>
    </row>
    <row r="28">
      <c r="A28" s="1"/>
    </row>
    <row r="29">
      <c r="A29" s="1" t="s">
        <v>3026</v>
      </c>
      <c r="B29" s="1" t="s">
        <v>3027</v>
      </c>
    </row>
    <row r="30">
      <c r="A30" s="1" t="s">
        <v>3028</v>
      </c>
      <c r="B30" s="3">
        <f>'Customer Analysis'!B25</f>
        <v>0.1426907397</v>
      </c>
    </row>
    <row r="31">
      <c r="A31" s="1" t="s">
        <v>3029</v>
      </c>
      <c r="B31" s="3">
        <f>'Customer Analysis'!B40</f>
        <v>0.2685089709</v>
      </c>
    </row>
    <row r="42">
      <c r="A42" s="1" t="s">
        <v>3030</v>
      </c>
      <c r="B42" s="1" t="s">
        <v>2954</v>
      </c>
    </row>
    <row r="43">
      <c r="A43" s="1" t="s">
        <v>2979</v>
      </c>
      <c r="B43" s="3">
        <f>'Customer Analysis'!B47</f>
        <v>0.2771439811</v>
      </c>
    </row>
    <row r="44">
      <c r="A44" s="1" t="s">
        <v>2980</v>
      </c>
      <c r="B44" s="3">
        <f>'Customer Analysis'!B48</f>
        <v>0.0684635058</v>
      </c>
    </row>
    <row r="45">
      <c r="A45" s="1" t="s">
        <v>2981</v>
      </c>
      <c r="B45" s="3">
        <f>'Customer Analysis'!B49</f>
        <v>0.04329004329</v>
      </c>
    </row>
    <row r="46">
      <c r="A46" s="1" t="s">
        <v>2982</v>
      </c>
      <c r="B46" s="3">
        <f>'Customer Analysis'!B50</f>
        <v>0.01180637544</v>
      </c>
    </row>
    <row r="56">
      <c r="A56" s="1" t="s">
        <v>2984</v>
      </c>
      <c r="B56" s="1" t="s">
        <v>3031</v>
      </c>
    </row>
    <row r="57">
      <c r="A57" s="1" t="s">
        <v>3032</v>
      </c>
      <c r="B57" s="3">
        <f>'Customer Analysis'!B54</f>
        <v>0.2018426648</v>
      </c>
    </row>
    <row r="58">
      <c r="A58" s="1" t="s">
        <v>3033</v>
      </c>
      <c r="B58" s="5">
        <f>COUNTIFS(European_Bank!K2:K10001,0,European_Bank!N2:N10001,1)/COUNTIF(European_Bank!K2:K10001,0)</f>
        <v>0.2081494058</v>
      </c>
    </row>
    <row r="68">
      <c r="A68" s="1" t="s">
        <v>2994</v>
      </c>
      <c r="B68" s="1" t="s">
        <v>3031</v>
      </c>
    </row>
    <row r="69">
      <c r="A69" s="1" t="s">
        <v>2989</v>
      </c>
      <c r="B69" s="3">
        <f>'Customer Analysis'!B62</f>
        <v>0.07520325203</v>
      </c>
    </row>
    <row r="70">
      <c r="A70" s="1" t="s">
        <v>2990</v>
      </c>
      <c r="B70" s="3">
        <f>'Customer Analysis'!B63</f>
        <v>0.2733739837</v>
      </c>
    </row>
    <row r="71">
      <c r="A71" s="1" t="s">
        <v>2991</v>
      </c>
      <c r="B71" s="3">
        <f>'Customer Analysis'!B64</f>
        <v>0.3395168248</v>
      </c>
    </row>
    <row r="72">
      <c r="A72" s="1" t="s">
        <v>2992</v>
      </c>
      <c r="B72" s="3">
        <f>'Customer Analysis'!B65</f>
        <v>0.5621079046</v>
      </c>
    </row>
    <row r="73">
      <c r="A73" s="1" t="s">
        <v>2993</v>
      </c>
      <c r="B73" s="3">
        <f>'Customer Analysis'!B66</f>
        <v>0.2478448276</v>
      </c>
    </row>
  </sheetData>
  <drawing r:id="rId1"/>
</worksheet>
</file>